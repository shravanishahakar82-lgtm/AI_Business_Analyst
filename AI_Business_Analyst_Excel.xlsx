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Data" sheetId="1" state="visible" r:id="rId1"/>
    <sheet xmlns:r="http://schemas.openxmlformats.org/officeDocument/2006/relationships" name="00_Instructions" sheetId="2" state="visible" r:id="rId2"/>
    <sheet xmlns:r="http://schemas.openxmlformats.org/officeDocument/2006/relationships" name="02_Clean_Data" sheetId="3" state="visible" r:id="rId3"/>
    <sheet xmlns:r="http://schemas.openxmlformats.org/officeDocument/2006/relationships" name="03_Lookups" sheetId="4" state="visible" r:id="rId4"/>
    <sheet xmlns:r="http://schemas.openxmlformats.org/officeDocument/2006/relationships" name="04_Formula_Analysis" sheetId="5" state="visible" r:id="rId5"/>
    <sheet xmlns:r="http://schemas.openxmlformats.org/officeDocument/2006/relationships" name="05_Pivot_Style" sheetId="6" state="visible" r:id="rId6"/>
    <sheet xmlns:r="http://schemas.openxmlformats.org/officeDocument/2006/relationships" name="06_Monthly_Analysis" sheetId="7" state="visible" r:id="rId7"/>
    <sheet xmlns:r="http://schemas.openxmlformats.org/officeDocument/2006/relationships" name="07_Interactive_Analysis" sheetId="8" state="visible" r:id="rId8"/>
    <sheet xmlns:r="http://schemas.openxmlformats.org/officeDocument/2006/relationships" name="08_Executive_Dashboard" sheetId="9" state="visible" r:id="rId9"/>
    <sheet xmlns:r="http://schemas.openxmlformats.org/officeDocument/2006/relationships" name="09_Cleaning_Guide" sheetId="10" state="visible" r:id="rId10"/>
    <sheet xmlns:r="http://schemas.openxmlformats.org/officeDocument/2006/relationships" name="10_Excel_Skills" sheetId="11" state="visible" r:id="rId11"/>
    <sheet xmlns:r="http://schemas.openxmlformats.org/officeDocument/2006/relationships" name="11_Data_Dictionary" sheetId="12" state="visible" r:id="rId12"/>
  </sheets>
  <definedNames>
    <definedName name="_xlnm._FilterDatabase" localSheetId="0" hidden="1">'01_Raw_Data'!$A$4:$L$157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"/>
    <numFmt numFmtId="167" formatCode="0.0%"/>
    <numFmt numFmtId="168" formatCode="mmm-yyyy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</font>
    <font>
      <b val="1"/>
      <color rgb="00FFFFFF"/>
    </font>
    <font>
      <b val="1"/>
    </font>
    <font>
      <b val="1"/>
      <sz val="12"/>
    </font>
    <font>
      <b val="1"/>
      <color rgb="0017365D"/>
      <sz val="12"/>
    </font>
    <font>
      <b val="1"/>
      <color rgb="00FFFFFF"/>
      <sz val="11"/>
    </font>
    <font>
      <b val="1"/>
      <color rgb="0017365D"/>
      <sz val="16"/>
    </font>
    <font>
      <b val="1"/>
      <color rgb="0017365D"/>
      <sz val="13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E1F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6" fontId="0" fillId="0" borderId="2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0" applyAlignment="1" pivotButton="0" quotePrefix="0" xfId="0">
      <alignment horizontal="center"/>
    </xf>
    <xf numFmtId="9" fontId="0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166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6" borderId="0" pivotButton="0" quotePrefix="0" xfId="0"/>
    <xf numFmtId="166" fontId="8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'08_Executive_Dashboard'!B10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'08_Executive_Dashboard'!$A$11:$A$18</f>
            </numRef>
          </cat>
          <val>
            <numRef>
              <f>'08_Executive_Dashboard'!$B$11:$B$18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'08_Executive_Dashboard'!H10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'08_Executive_Dashboard'!$G$11:$G$16</f>
            </numRef>
          </cat>
          <val>
            <numRef>
              <f>'08_Executive_Dashboard'!$H$11:$H$16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'08_Executive_Dashboard'!E10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'08_Executive_Dashboard'!$D$11:$D$12</f>
            </numRef>
          </cat>
          <val>
            <numRef>
              <f>'08_Executive_Dashboard'!$E$11:$E$12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20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" displayName="RawSales" ref="A4:L157" headerRowCount="1">
  <autoFilter ref="A4:L157"/>
  <tableColumns count="12">
    <tableColumn id="1" name="Order ID"/>
    <tableColumn id="2" name="Order Date"/>
    <tableColumn id="3" name="Product"/>
    <tableColumn id="4" name="Category"/>
    <tableColumn id="5" name="Customer"/>
    <tableColumn id="6" name="Region"/>
    <tableColumn id="7" name="Channel"/>
    <tableColumn id="8" name="Salesperson"/>
    <tableColumn id="9" name="Quantity"/>
    <tableColumn id="10" name="Unit Price"/>
    <tableColumn id="11" name="Revenue"/>
    <tableColumn id="12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Sales" displayName="CleanSales" ref="A4:R157" headerRowCount="1">
  <autoFilter ref="A4:R157"/>
  <tableColumns count="18">
    <tableColumn id="1" name="Order ID"/>
    <tableColumn id="2" name="Order Date"/>
    <tableColumn id="3" name="Product"/>
    <tableColumn id="4" name="Category"/>
    <tableColumn id="5" name="Customer"/>
    <tableColumn id="6" name="Region"/>
    <tableColumn id="7" name="Channel"/>
    <tableColumn id="8" name="Salesperson"/>
    <tableColumn id="9" name="Quantity"/>
    <tableColumn id="10" name="Unit Price"/>
    <tableColumn id="11" name="Revenue"/>
    <tableColumn id="12" name="Year"/>
    <tableColumn id="13" name="Month"/>
    <tableColumn id="14" name="Clean Customer"/>
    <tableColumn id="15" name="Clean Product"/>
    <tableColumn id="16" name="Profit"/>
    <tableColumn id="17" name="Profit Margin"/>
    <tableColumn id="18" name="Revenue Band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22" customWidth="1" min="5" max="5"/>
    <col width="12" customWidth="1" min="6" max="6"/>
    <col width="15" customWidth="1" min="7" max="7"/>
    <col width="15" customWidth="1" min="8" max="8"/>
    <col width="10" customWidth="1" min="9" max="9"/>
    <col width="14" customWidth="1" min="10" max="10"/>
    <col width="14" customWidth="1" min="11" max="11"/>
    <col width="20" customWidth="1" min="12" max="12"/>
  </cols>
  <sheetData>
    <row r="1" ht="30" customHeight="1">
      <c r="A1" s="1" t="inlineStr">
        <is>
          <t>AI Business Analyst — Raw Sales Data</t>
        </is>
      </c>
    </row>
    <row r="2">
      <c r="A2" s="2" t="inlineStr">
        <is>
          <t>Portfolio dataset: 150+ transactions with intentional text inconsistencies/duplicates for cleaning practice.</t>
        </is>
      </c>
    </row>
    <row r="4">
      <c r="A4" s="3" t="inlineStr">
        <is>
          <t>Order ID</t>
        </is>
      </c>
      <c r="B4" s="3" t="inlineStr">
        <is>
          <t>Order Date</t>
        </is>
      </c>
      <c r="C4" s="3" t="inlineStr">
        <is>
          <t>Product</t>
        </is>
      </c>
      <c r="D4" s="3" t="inlineStr">
        <is>
          <t>Category</t>
        </is>
      </c>
      <c r="E4" s="3" t="inlineStr">
        <is>
          <t>Customer</t>
        </is>
      </c>
      <c r="F4" s="3" t="inlineStr">
        <is>
          <t>Region</t>
        </is>
      </c>
      <c r="G4" s="3" t="inlineStr">
        <is>
          <t>Channel</t>
        </is>
      </c>
      <c r="H4" s="3" t="inlineStr">
        <is>
          <t>Salesperson</t>
        </is>
      </c>
      <c r="I4" s="3" t="inlineStr">
        <is>
          <t>Quantity</t>
        </is>
      </c>
      <c r="J4" s="3" t="inlineStr">
        <is>
          <t>Unit Price</t>
        </is>
      </c>
      <c r="K4" s="3" t="inlineStr">
        <is>
          <t>Revenue</t>
        </is>
      </c>
      <c r="L4" s="3" t="inlineStr">
        <is>
          <t>Notes</t>
        </is>
      </c>
    </row>
    <row r="5">
      <c r="A5" s="4" t="n">
        <v>1001</v>
      </c>
      <c r="B5" s="5" t="n">
        <v>46080</v>
      </c>
      <c r="C5" s="4" t="inlineStr">
        <is>
          <t>Smartphone</t>
        </is>
      </c>
      <c r="D5" s="4" t="inlineStr">
        <is>
          <t>Electronics</t>
        </is>
      </c>
      <c r="E5" s="4" t="inlineStr">
        <is>
          <t>ABC Electronics</t>
        </is>
      </c>
      <c r="F5" s="4" t="inlineStr">
        <is>
          <t>West</t>
        </is>
      </c>
      <c r="G5" s="4" t="inlineStr">
        <is>
          <t>Distributor</t>
        </is>
      </c>
      <c r="H5" s="4" t="inlineStr">
        <is>
          <t>Kabir</t>
        </is>
      </c>
      <c r="I5" s="6" t="n">
        <v>2</v>
      </c>
      <c r="J5" s="7" t="n">
        <v>30000</v>
      </c>
      <c r="K5" s="7" t="n">
        <v>60000</v>
      </c>
      <c r="L5" s="4" t="inlineStr">
        <is>
          <t>Priority</t>
        </is>
      </c>
    </row>
    <row r="6">
      <c r="A6" s="4" t="n">
        <v>1002</v>
      </c>
      <c r="B6" s="5" t="n">
        <v>46030</v>
      </c>
      <c r="C6" s="4" t="inlineStr">
        <is>
          <t>Smartphone</t>
        </is>
      </c>
      <c r="D6" s="4" t="inlineStr">
        <is>
          <t>Electronics</t>
        </is>
      </c>
      <c r="E6" s="4" t="inlineStr">
        <is>
          <t>XYZ Retail</t>
        </is>
      </c>
      <c r="F6" s="4" t="inlineStr">
        <is>
          <t>North</t>
        </is>
      </c>
      <c r="G6" s="4" t="inlineStr">
        <is>
          <t>Distributor</t>
        </is>
      </c>
      <c r="H6" s="4" t="inlineStr">
        <is>
          <t>Meera</t>
        </is>
      </c>
      <c r="I6" s="6" t="n">
        <v>1</v>
      </c>
      <c r="J6" s="7" t="n">
        <v>30000</v>
      </c>
      <c r="K6" s="7" t="n">
        <v>30000</v>
      </c>
      <c r="L6" s="4" t="inlineStr"/>
    </row>
    <row r="7">
      <c r="A7" s="4" t="n">
        <v>1003</v>
      </c>
      <c r="B7" s="5" t="n">
        <v>46166</v>
      </c>
      <c r="C7" s="4" t="inlineStr">
        <is>
          <t>Monitor</t>
        </is>
      </c>
      <c r="D7" s="4" t="inlineStr">
        <is>
          <t>Electronics</t>
        </is>
      </c>
      <c r="E7" s="4" t="inlineStr">
        <is>
          <t>Tech World</t>
        </is>
      </c>
      <c r="F7" s="4" t="inlineStr">
        <is>
          <t>West</t>
        </is>
      </c>
      <c r="G7" s="4" t="inlineStr">
        <is>
          <t>Distributor</t>
        </is>
      </c>
      <c r="H7" s="4" t="inlineStr">
        <is>
          <t>Rohan</t>
        </is>
      </c>
      <c r="I7" s="6" t="n">
        <v>1</v>
      </c>
      <c r="J7" s="7" t="n">
        <v>15000</v>
      </c>
      <c r="K7" s="7" t="n">
        <v>15000</v>
      </c>
      <c r="L7" s="4" t="inlineStr">
        <is>
          <t>Priority</t>
        </is>
      </c>
    </row>
    <row r="8">
      <c r="A8" s="4" t="n">
        <v>1004</v>
      </c>
      <c r="B8" s="5" t="n">
        <v>46024</v>
      </c>
      <c r="C8" s="4" t="inlineStr">
        <is>
          <t>Desk</t>
        </is>
      </c>
      <c r="D8" s="4" t="inlineStr">
        <is>
          <t>Furniture</t>
        </is>
      </c>
      <c r="E8" s="4" t="inlineStr">
        <is>
          <t>Tech World</t>
        </is>
      </c>
      <c r="F8" s="4" t="inlineStr">
        <is>
          <t>West</t>
        </is>
      </c>
      <c r="G8" s="4" t="inlineStr">
        <is>
          <t>Store</t>
        </is>
      </c>
      <c r="H8" s="4" t="inlineStr">
        <is>
          <t>Rohan</t>
        </is>
      </c>
      <c r="I8" s="6" t="n">
        <v>3</v>
      </c>
      <c r="J8" s="7" t="n">
        <v>12000</v>
      </c>
      <c r="K8" s="7" t="n">
        <v>36000</v>
      </c>
      <c r="L8" s="4" t="inlineStr">
        <is>
          <t>Priority</t>
        </is>
      </c>
    </row>
    <row r="9">
      <c r="A9" s="4" t="n">
        <v>1005</v>
      </c>
      <c r="B9" s="5" t="n">
        <v>46109</v>
      </c>
      <c r="C9" s="4" t="inlineStr">
        <is>
          <t>Desk</t>
        </is>
      </c>
      <c r="D9" s="4" t="inlineStr">
        <is>
          <t>Furniture</t>
        </is>
      </c>
      <c r="E9" s="4" t="inlineStr">
        <is>
          <t>Metro Traders</t>
        </is>
      </c>
      <c r="F9" s="4" t="inlineStr">
        <is>
          <t>North</t>
        </is>
      </c>
      <c r="G9" s="4" t="inlineStr">
        <is>
          <t>Store</t>
        </is>
      </c>
      <c r="H9" s="4" t="inlineStr">
        <is>
          <t>Diya</t>
        </is>
      </c>
      <c r="I9" s="6" t="n">
        <v>2</v>
      </c>
      <c r="J9" s="7" t="n">
        <v>12000</v>
      </c>
      <c r="K9" s="7" t="n">
        <v>24000</v>
      </c>
      <c r="L9" s="4" t="inlineStr"/>
    </row>
    <row r="10">
      <c r="A10" s="4" t="n">
        <v>1006</v>
      </c>
      <c r="B10" s="5" t="n">
        <v>46177</v>
      </c>
      <c r="C10" s="4" t="inlineStr">
        <is>
          <t>Smartphone</t>
        </is>
      </c>
      <c r="D10" s="4" t="inlineStr">
        <is>
          <t>Electronics</t>
        </is>
      </c>
      <c r="E10" s="4" t="inlineStr">
        <is>
          <t>Prime Retail</t>
        </is>
      </c>
      <c r="F10" s="4" t="inlineStr">
        <is>
          <t>South</t>
        </is>
      </c>
      <c r="G10" s="4" t="inlineStr">
        <is>
          <t>Online</t>
        </is>
      </c>
      <c r="H10" s="4" t="inlineStr">
        <is>
          <t>Kabir</t>
        </is>
      </c>
      <c r="I10" s="6" t="n">
        <v>3</v>
      </c>
      <c r="J10" s="7" t="n">
        <v>30000</v>
      </c>
      <c r="K10" s="7" t="n">
        <v>90000</v>
      </c>
      <c r="L10" s="4" t="inlineStr">
        <is>
          <t>Repeat customer</t>
        </is>
      </c>
    </row>
    <row r="11">
      <c r="A11" s="4" t="n">
        <v>1007</v>
      </c>
      <c r="B11" s="5" t="n">
        <v>46043</v>
      </c>
      <c r="C11" s="4" t="inlineStr">
        <is>
          <t>Laptop</t>
        </is>
      </c>
      <c r="D11" s="4" t="inlineStr">
        <is>
          <t>Electronics</t>
        </is>
      </c>
      <c r="E11" s="4" t="inlineStr">
        <is>
          <t>Urban Store</t>
        </is>
      </c>
      <c r="F11" s="4" t="inlineStr">
        <is>
          <t>East</t>
        </is>
      </c>
      <c r="G11" s="4" t="inlineStr">
        <is>
          <t>Distributor</t>
        </is>
      </c>
      <c r="H11" s="4" t="inlineStr">
        <is>
          <t>Aarav</t>
        </is>
      </c>
      <c r="I11" s="6" t="n">
        <v>4</v>
      </c>
      <c r="J11" s="7" t="n">
        <v>50000</v>
      </c>
      <c r="K11" s="7" t="n">
        <v>200000</v>
      </c>
      <c r="L11" s="4" t="inlineStr"/>
    </row>
    <row r="12">
      <c r="A12" s="4" t="n">
        <v>1008</v>
      </c>
      <c r="B12" s="5" t="n">
        <v>46034</v>
      </c>
      <c r="C12" s="4" t="inlineStr">
        <is>
          <t>Keyboard</t>
        </is>
      </c>
      <c r="D12" s="4" t="inlineStr">
        <is>
          <t>Electronics</t>
        </is>
      </c>
      <c r="E12" s="4" t="inlineStr">
        <is>
          <t>Metro Traders</t>
        </is>
      </c>
      <c r="F12" s="4" t="inlineStr">
        <is>
          <t>North</t>
        </is>
      </c>
      <c r="G12" s="4" t="inlineStr">
        <is>
          <t>Distributor</t>
        </is>
      </c>
      <c r="H12" s="4" t="inlineStr">
        <is>
          <t>Diya</t>
        </is>
      </c>
      <c r="I12" s="6" t="n">
        <v>1</v>
      </c>
      <c r="J12" s="7" t="n">
        <v>2500</v>
      </c>
      <c r="K12" s="7" t="n">
        <v>2500</v>
      </c>
      <c r="L12" s="4" t="inlineStr">
        <is>
          <t>Priority</t>
        </is>
      </c>
    </row>
    <row r="13">
      <c r="A13" s="4" t="n">
        <v>1009</v>
      </c>
      <c r="B13" s="5" t="n">
        <v>46094</v>
      </c>
      <c r="C13" s="4" t="inlineStr">
        <is>
          <t>Keyboard</t>
        </is>
      </c>
      <c r="D13" s="4" t="inlineStr">
        <is>
          <t>Electronics</t>
        </is>
      </c>
      <c r="E13" s="4" t="inlineStr">
        <is>
          <t>XYZ Retail</t>
        </is>
      </c>
      <c r="F13" s="4" t="inlineStr">
        <is>
          <t>North</t>
        </is>
      </c>
      <c r="G13" s="4" t="inlineStr">
        <is>
          <t>Online</t>
        </is>
      </c>
      <c r="H13" s="4" t="inlineStr">
        <is>
          <t>Aarav</t>
        </is>
      </c>
      <c r="I13" s="6" t="n">
        <v>4</v>
      </c>
      <c r="J13" s="7" t="n">
        <v>2500</v>
      </c>
      <c r="K13" s="7" t="n">
        <v>10000</v>
      </c>
      <c r="L13" s="4" t="inlineStr">
        <is>
          <t>Promo</t>
        </is>
      </c>
    </row>
    <row r="14">
      <c r="A14" s="4" t="n">
        <v>1010</v>
      </c>
      <c r="B14" s="5" t="n">
        <v>46194</v>
      </c>
      <c r="C14" s="4" t="inlineStr">
        <is>
          <t>Office Chair</t>
        </is>
      </c>
      <c r="D14" s="4" t="inlineStr">
        <is>
          <t>Furniture</t>
        </is>
      </c>
      <c r="E14" s="4" t="inlineStr">
        <is>
          <t>PQR Stores</t>
        </is>
      </c>
      <c r="F14" s="4" t="inlineStr">
        <is>
          <t>South</t>
        </is>
      </c>
      <c r="G14" s="4" t="inlineStr">
        <is>
          <t>Store</t>
        </is>
      </c>
      <c r="H14" s="4" t="inlineStr">
        <is>
          <t>Kabir</t>
        </is>
      </c>
      <c r="I14" s="6" t="n">
        <v>2</v>
      </c>
      <c r="J14" s="7" t="n">
        <v>8000</v>
      </c>
      <c r="K14" s="7" t="n">
        <v>16000</v>
      </c>
      <c r="L14" s="4" t="inlineStr">
        <is>
          <t>Repeat customer</t>
        </is>
      </c>
    </row>
    <row r="15">
      <c r="A15" s="4" t="n">
        <v>1011</v>
      </c>
      <c r="B15" s="5" t="n">
        <v>46064</v>
      </c>
      <c r="C15" s="4" t="inlineStr">
        <is>
          <t>Smartphone</t>
        </is>
      </c>
      <c r="D15" s="4" t="inlineStr">
        <is>
          <t>Electronics</t>
        </is>
      </c>
      <c r="E15" s="4" t="inlineStr">
        <is>
          <t>PQR Stores</t>
        </is>
      </c>
      <c r="F15" s="4" t="inlineStr">
        <is>
          <t>South</t>
        </is>
      </c>
      <c r="G15" s="4" t="inlineStr">
        <is>
          <t>Distributor</t>
        </is>
      </c>
      <c r="H15" s="4" t="inlineStr">
        <is>
          <t>Isha</t>
        </is>
      </c>
      <c r="I15" s="6" t="n">
        <v>2</v>
      </c>
      <c r="J15" s="7" t="n">
        <v>30000</v>
      </c>
      <c r="K15" s="7" t="n">
        <v>60000</v>
      </c>
      <c r="L15" s="4" t="inlineStr">
        <is>
          <t>Promo</t>
        </is>
      </c>
    </row>
    <row r="16">
      <c r="A16" s="4" t="n">
        <v>1012</v>
      </c>
      <c r="B16" s="5" t="n">
        <v>46079</v>
      </c>
      <c r="C16" s="4" t="inlineStr">
        <is>
          <t>Desk</t>
        </is>
      </c>
      <c r="D16" s="4" t="inlineStr">
        <is>
          <t>Furniture</t>
        </is>
      </c>
      <c r="E16" s="4" t="inlineStr">
        <is>
          <t>Smart Mart</t>
        </is>
      </c>
      <c r="F16" s="4" t="inlineStr">
        <is>
          <t>East</t>
        </is>
      </c>
      <c r="G16" s="4" t="inlineStr">
        <is>
          <t>Distributor</t>
        </is>
      </c>
      <c r="H16" s="4" t="inlineStr">
        <is>
          <t>Isha</t>
        </is>
      </c>
      <c r="I16" s="6" t="n">
        <v>5</v>
      </c>
      <c r="J16" s="7" t="n">
        <v>12000</v>
      </c>
      <c r="K16" s="7" t="n">
        <v>60000</v>
      </c>
      <c r="L16" s="4" t="inlineStr">
        <is>
          <t>Repeat customer</t>
        </is>
      </c>
    </row>
    <row r="17">
      <c r="A17" s="4" t="n">
        <v>1013</v>
      </c>
      <c r="B17" s="5" t="n">
        <v>46091</v>
      </c>
      <c r="C17" s="4" t="inlineStr">
        <is>
          <t>Laptop</t>
        </is>
      </c>
      <c r="D17" s="4" t="inlineStr">
        <is>
          <t>Electronics</t>
        </is>
      </c>
      <c r="E17" s="4" t="inlineStr">
        <is>
          <t>Tech World</t>
        </is>
      </c>
      <c r="F17" s="4" t="inlineStr">
        <is>
          <t>West</t>
        </is>
      </c>
      <c r="G17" s="4" t="inlineStr">
        <is>
          <t>Online</t>
        </is>
      </c>
      <c r="H17" s="4" t="inlineStr">
        <is>
          <t>Kabir</t>
        </is>
      </c>
      <c r="I17" s="6" t="n">
        <v>4</v>
      </c>
      <c r="J17" s="7" t="n">
        <v>50000</v>
      </c>
      <c r="K17" s="7" t="n">
        <v>200000</v>
      </c>
      <c r="L17" s="4" t="inlineStr"/>
    </row>
    <row r="18">
      <c r="A18" s="4" t="n">
        <v>1014</v>
      </c>
      <c r="B18" s="5" t="n">
        <v>46124</v>
      </c>
      <c r="C18" s="4" t="inlineStr">
        <is>
          <t>Monitor</t>
        </is>
      </c>
      <c r="D18" s="4" t="inlineStr">
        <is>
          <t>Electronics</t>
        </is>
      </c>
      <c r="E18" s="4" t="inlineStr">
        <is>
          <t>Metro Traders</t>
        </is>
      </c>
      <c r="F18" s="4" t="inlineStr">
        <is>
          <t>North</t>
        </is>
      </c>
      <c r="G18" s="4" t="inlineStr">
        <is>
          <t>Online</t>
        </is>
      </c>
      <c r="H18" s="4" t="inlineStr">
        <is>
          <t>Isha</t>
        </is>
      </c>
      <c r="I18" s="6" t="n">
        <v>4</v>
      </c>
      <c r="J18" s="7" t="n">
        <v>15000</v>
      </c>
      <c r="K18" s="7" t="n">
        <v>60000</v>
      </c>
      <c r="L18" s="4" t="inlineStr">
        <is>
          <t>Promo</t>
        </is>
      </c>
    </row>
    <row r="19">
      <c r="A19" s="4" t="n">
        <v>1015</v>
      </c>
      <c r="B19" s="5" t="n">
        <v>46160</v>
      </c>
      <c r="C19" s="4" t="inlineStr">
        <is>
          <t>Headphones</t>
        </is>
      </c>
      <c r="D19" s="4" t="inlineStr">
        <is>
          <t>Electronics</t>
        </is>
      </c>
      <c r="E19" s="4" t="inlineStr">
        <is>
          <t>Smart Mart</t>
        </is>
      </c>
      <c r="F19" s="4" t="inlineStr">
        <is>
          <t>East</t>
        </is>
      </c>
      <c r="G19" s="4" t="inlineStr">
        <is>
          <t>Online</t>
        </is>
      </c>
      <c r="H19" s="4" t="inlineStr">
        <is>
          <t>Diya</t>
        </is>
      </c>
      <c r="I19" s="6" t="n">
        <v>5</v>
      </c>
      <c r="J19" s="7" t="n">
        <v>3000</v>
      </c>
      <c r="K19" s="7" t="n">
        <v>15000</v>
      </c>
      <c r="L19" s="4" t="inlineStr">
        <is>
          <t>Repeat customer</t>
        </is>
      </c>
    </row>
    <row r="20">
      <c r="A20" s="4" t="n">
        <v>1016</v>
      </c>
      <c r="B20" s="5" t="n">
        <v>46153</v>
      </c>
      <c r="C20" s="4" t="inlineStr">
        <is>
          <t>Desk</t>
        </is>
      </c>
      <c r="D20" s="4" t="inlineStr">
        <is>
          <t>Furniture</t>
        </is>
      </c>
      <c r="E20" s="4" t="inlineStr">
        <is>
          <t>Prime Retail</t>
        </is>
      </c>
      <c r="F20" s="4" t="inlineStr">
        <is>
          <t>South</t>
        </is>
      </c>
      <c r="G20" s="4" t="inlineStr">
        <is>
          <t>Store</t>
        </is>
      </c>
      <c r="H20" s="4" t="inlineStr">
        <is>
          <t>Diya</t>
        </is>
      </c>
      <c r="I20" s="6" t="n">
        <v>2</v>
      </c>
      <c r="J20" s="7" t="n">
        <v>12000</v>
      </c>
      <c r="K20" s="7" t="n">
        <v>24000</v>
      </c>
      <c r="L20" s="4" t="inlineStr">
        <is>
          <t>Promo</t>
        </is>
      </c>
    </row>
    <row r="21">
      <c r="A21" s="4" t="n">
        <v>1017</v>
      </c>
      <c r="B21" s="5" t="n">
        <v>46197</v>
      </c>
      <c r="C21" s="4" t="inlineStr">
        <is>
          <t xml:space="preserve"> Smartphone </t>
        </is>
      </c>
      <c r="D21" s="4" t="inlineStr">
        <is>
          <t>Electronics</t>
        </is>
      </c>
      <c r="E21" s="4" t="inlineStr">
        <is>
          <t>ABC Electronics</t>
        </is>
      </c>
      <c r="F21" s="4" t="inlineStr">
        <is>
          <t>West</t>
        </is>
      </c>
      <c r="G21" s="4" t="inlineStr">
        <is>
          <t>Online</t>
        </is>
      </c>
      <c r="H21" s="4" t="inlineStr">
        <is>
          <t>Diya</t>
        </is>
      </c>
      <c r="I21" s="6" t="n">
        <v>2</v>
      </c>
      <c r="J21" s="7" t="n">
        <v>30000</v>
      </c>
      <c r="K21" s="7" t="n">
        <v>60000</v>
      </c>
      <c r="L21" s="4" t="inlineStr">
        <is>
          <t>Promo</t>
        </is>
      </c>
    </row>
    <row r="22">
      <c r="A22" s="4" t="n">
        <v>1018</v>
      </c>
      <c r="B22" s="5" t="n">
        <v>46158</v>
      </c>
      <c r="C22" s="4" t="inlineStr">
        <is>
          <t>Smartphone</t>
        </is>
      </c>
      <c r="D22" s="4" t="inlineStr">
        <is>
          <t>Electronics</t>
        </is>
      </c>
      <c r="E22" s="4" t="inlineStr">
        <is>
          <t>Prime Retail</t>
        </is>
      </c>
      <c r="F22" s="4" t="inlineStr">
        <is>
          <t>South</t>
        </is>
      </c>
      <c r="G22" s="4" t="inlineStr">
        <is>
          <t>Store</t>
        </is>
      </c>
      <c r="H22" s="4" t="inlineStr">
        <is>
          <t>Rohan</t>
        </is>
      </c>
      <c r="I22" s="6" t="n">
        <v>4</v>
      </c>
      <c r="J22" s="7" t="n">
        <v>30000</v>
      </c>
      <c r="K22" s="7" t="n">
        <v>120000</v>
      </c>
      <c r="L22" s="4" t="inlineStr">
        <is>
          <t>Repeat customer</t>
        </is>
      </c>
    </row>
    <row r="23">
      <c r="A23" s="4" t="n">
        <v>1019</v>
      </c>
      <c r="B23" s="5" t="n">
        <v>46187</v>
      </c>
      <c r="C23" s="4" t="inlineStr">
        <is>
          <t>Laptop</t>
        </is>
      </c>
      <c r="D23" s="4" t="inlineStr">
        <is>
          <t>Electronics</t>
        </is>
      </c>
      <c r="E23" s="4" t="inlineStr">
        <is>
          <t>XYZ RETAIL</t>
        </is>
      </c>
      <c r="F23" s="4" t="inlineStr">
        <is>
          <t>North</t>
        </is>
      </c>
      <c r="G23" s="4" t="inlineStr">
        <is>
          <t>Distributor</t>
        </is>
      </c>
      <c r="H23" s="4" t="inlineStr">
        <is>
          <t>Rohan</t>
        </is>
      </c>
      <c r="I23" s="6" t="n">
        <v>3</v>
      </c>
      <c r="J23" s="7" t="n">
        <v>50000</v>
      </c>
      <c r="K23" s="7" t="n">
        <v>150000</v>
      </c>
      <c r="L23" s="4" t="inlineStr">
        <is>
          <t>Repeat customer</t>
        </is>
      </c>
    </row>
    <row r="24">
      <c r="A24" s="4" t="n">
        <v>1020</v>
      </c>
      <c r="B24" s="5" t="n">
        <v>46023</v>
      </c>
      <c r="C24" s="4" t="inlineStr">
        <is>
          <t>Smartphone</t>
        </is>
      </c>
      <c r="D24" s="4" t="inlineStr">
        <is>
          <t>Electronics</t>
        </is>
      </c>
      <c r="E24" s="4" t="inlineStr">
        <is>
          <t>Smart Mart</t>
        </is>
      </c>
      <c r="F24" s="4" t="inlineStr">
        <is>
          <t>East</t>
        </is>
      </c>
      <c r="G24" s="4" t="inlineStr">
        <is>
          <t>Store</t>
        </is>
      </c>
      <c r="H24" s="4" t="inlineStr">
        <is>
          <t>Diya</t>
        </is>
      </c>
      <c r="I24" s="6" t="n">
        <v>4</v>
      </c>
      <c r="J24" s="7" t="n">
        <v>30000</v>
      </c>
      <c r="K24" s="7" t="n">
        <v>120000</v>
      </c>
      <c r="L24" s="4" t="inlineStr">
        <is>
          <t>Repeat customer</t>
        </is>
      </c>
    </row>
    <row r="25">
      <c r="A25" s="4" t="n">
        <v>1021</v>
      </c>
      <c r="B25" s="5" t="n">
        <v>46178</v>
      </c>
      <c r="C25" s="4" t="inlineStr">
        <is>
          <t>Headphones</t>
        </is>
      </c>
      <c r="D25" s="4" t="inlineStr">
        <is>
          <t>Electronics</t>
        </is>
      </c>
      <c r="E25" s="4" t="inlineStr">
        <is>
          <t>XYZ Retail</t>
        </is>
      </c>
      <c r="F25" s="4" t="inlineStr">
        <is>
          <t>North</t>
        </is>
      </c>
      <c r="G25" s="4" t="inlineStr">
        <is>
          <t>Distributor</t>
        </is>
      </c>
      <c r="H25" s="4" t="inlineStr">
        <is>
          <t>Kabir</t>
        </is>
      </c>
      <c r="I25" s="6" t="n">
        <v>5</v>
      </c>
      <c r="J25" s="7" t="n">
        <v>3000</v>
      </c>
      <c r="K25" s="7" t="n">
        <v>15000</v>
      </c>
      <c r="L25" s="4" t="inlineStr">
        <is>
          <t>Priority</t>
        </is>
      </c>
    </row>
    <row r="26">
      <c r="A26" s="4" t="n">
        <v>1022</v>
      </c>
      <c r="B26" s="5" t="n">
        <v>46023</v>
      </c>
      <c r="C26" s="4" t="inlineStr">
        <is>
          <t>Headphones</t>
        </is>
      </c>
      <c r="D26" s="4" t="inlineStr">
        <is>
          <t>Electronics</t>
        </is>
      </c>
      <c r="E26" s="4" t="inlineStr">
        <is>
          <t>Metro Traders</t>
        </is>
      </c>
      <c r="F26" s="4" t="inlineStr">
        <is>
          <t>North</t>
        </is>
      </c>
      <c r="G26" s="4" t="inlineStr">
        <is>
          <t>Online</t>
        </is>
      </c>
      <c r="H26" s="4" t="inlineStr">
        <is>
          <t>Rohan</t>
        </is>
      </c>
      <c r="I26" s="6" t="n">
        <v>5</v>
      </c>
      <c r="J26" s="7" t="n">
        <v>3000</v>
      </c>
      <c r="K26" s="7" t="n">
        <v>15000</v>
      </c>
      <c r="L26" s="4" t="inlineStr"/>
    </row>
    <row r="27">
      <c r="A27" s="4" t="n">
        <v>1023</v>
      </c>
      <c r="B27" s="5" t="n">
        <v>46101</v>
      </c>
      <c r="C27" s="4" t="inlineStr">
        <is>
          <t>Office Chair</t>
        </is>
      </c>
      <c r="D27" s="4" t="inlineStr">
        <is>
          <t>Furniture</t>
        </is>
      </c>
      <c r="E27" s="4" t="inlineStr">
        <is>
          <t>urban store</t>
        </is>
      </c>
      <c r="F27" s="4" t="inlineStr">
        <is>
          <t>East</t>
        </is>
      </c>
      <c r="G27" s="4" t="inlineStr">
        <is>
          <t>Online</t>
        </is>
      </c>
      <c r="H27" s="4" t="inlineStr">
        <is>
          <t>Aarav</t>
        </is>
      </c>
      <c r="I27" s="6" t="n">
        <v>3</v>
      </c>
      <c r="J27" s="7" t="n">
        <v>8000</v>
      </c>
      <c r="K27" s="7" t="n">
        <v>24000</v>
      </c>
      <c r="L27" s="4" t="inlineStr">
        <is>
          <t>Priority</t>
        </is>
      </c>
    </row>
    <row r="28">
      <c r="A28" s="4" t="n">
        <v>1024</v>
      </c>
      <c r="B28" s="5" t="n">
        <v>46147</v>
      </c>
      <c r="C28" s="4" t="inlineStr">
        <is>
          <t>Laptop</t>
        </is>
      </c>
      <c r="D28" s="4" t="inlineStr">
        <is>
          <t>Electronics</t>
        </is>
      </c>
      <c r="E28" s="4" t="inlineStr">
        <is>
          <t>Tech World</t>
        </is>
      </c>
      <c r="F28" s="4" t="inlineStr">
        <is>
          <t>West</t>
        </is>
      </c>
      <c r="G28" s="4" t="inlineStr">
        <is>
          <t>Distributor</t>
        </is>
      </c>
      <c r="H28" s="4" t="inlineStr">
        <is>
          <t>Aarav</t>
        </is>
      </c>
      <c r="I28" s="6" t="n">
        <v>1</v>
      </c>
      <c r="J28" s="7" t="n">
        <v>50000</v>
      </c>
      <c r="K28" s="7" t="n">
        <v>50000</v>
      </c>
      <c r="L28" s="4" t="inlineStr"/>
    </row>
    <row r="29">
      <c r="A29" s="4" t="n">
        <v>1025</v>
      </c>
      <c r="B29" s="5" t="n">
        <v>46065</v>
      </c>
      <c r="C29" s="4" t="inlineStr">
        <is>
          <t>Headphones</t>
        </is>
      </c>
      <c r="D29" s="4" t="inlineStr">
        <is>
          <t>Electronics</t>
        </is>
      </c>
      <c r="E29" s="4" t="inlineStr">
        <is>
          <t>PQR Stores</t>
        </is>
      </c>
      <c r="F29" s="4" t="inlineStr">
        <is>
          <t>South</t>
        </is>
      </c>
      <c r="G29" s="4" t="inlineStr">
        <is>
          <t>Distributor</t>
        </is>
      </c>
      <c r="H29" s="4" t="inlineStr">
        <is>
          <t>Meera</t>
        </is>
      </c>
      <c r="I29" s="6" t="n">
        <v>5</v>
      </c>
      <c r="J29" s="7" t="n">
        <v>3000</v>
      </c>
      <c r="K29" s="7" t="n">
        <v>15000</v>
      </c>
      <c r="L29" s="4" t="inlineStr">
        <is>
          <t>Repeat customer</t>
        </is>
      </c>
    </row>
    <row r="30">
      <c r="A30" s="4" t="n">
        <v>1026</v>
      </c>
      <c r="B30" s="5" t="n">
        <v>46102</v>
      </c>
      <c r="C30" s="4" t="inlineStr">
        <is>
          <t>Desk</t>
        </is>
      </c>
      <c r="D30" s="4" t="inlineStr">
        <is>
          <t>Furniture</t>
        </is>
      </c>
      <c r="E30" s="4" t="inlineStr">
        <is>
          <t>Tech World</t>
        </is>
      </c>
      <c r="F30" s="4" t="inlineStr">
        <is>
          <t>West</t>
        </is>
      </c>
      <c r="G30" s="4" t="inlineStr">
        <is>
          <t>Distributor</t>
        </is>
      </c>
      <c r="H30" s="4" t="inlineStr">
        <is>
          <t>Isha</t>
        </is>
      </c>
      <c r="I30" s="6" t="n">
        <v>2</v>
      </c>
      <c r="J30" s="7" t="n">
        <v>12000</v>
      </c>
      <c r="K30" s="7" t="n">
        <v>24000</v>
      </c>
      <c r="L30" s="4" t="inlineStr">
        <is>
          <t>Promo</t>
        </is>
      </c>
    </row>
    <row r="31">
      <c r="A31" s="4" t="n">
        <v>1027</v>
      </c>
      <c r="B31" s="5" t="n">
        <v>46086</v>
      </c>
      <c r="C31" s="4" t="inlineStr">
        <is>
          <t>Office Chair</t>
        </is>
      </c>
      <c r="D31" s="4" t="inlineStr">
        <is>
          <t>Furniture</t>
        </is>
      </c>
      <c r="E31" s="4" t="inlineStr">
        <is>
          <t>Urban Store</t>
        </is>
      </c>
      <c r="F31" s="4" t="inlineStr">
        <is>
          <t>East</t>
        </is>
      </c>
      <c r="G31" s="4" t="inlineStr">
        <is>
          <t>Distributor</t>
        </is>
      </c>
      <c r="H31" s="4" t="inlineStr">
        <is>
          <t>Meera</t>
        </is>
      </c>
      <c r="I31" s="6" t="n">
        <v>1</v>
      </c>
      <c r="J31" s="7" t="n">
        <v>8000</v>
      </c>
      <c r="K31" s="7" t="n">
        <v>8000</v>
      </c>
      <c r="L31" s="4" t="inlineStr">
        <is>
          <t>Priority</t>
        </is>
      </c>
    </row>
    <row r="32">
      <c r="A32" s="4" t="n">
        <v>1028</v>
      </c>
      <c r="B32" s="5" t="n">
        <v>46081</v>
      </c>
      <c r="C32" s="4" t="inlineStr">
        <is>
          <t>Smartphone</t>
        </is>
      </c>
      <c r="D32" s="4" t="inlineStr">
        <is>
          <t>Electronics</t>
        </is>
      </c>
      <c r="E32" s="4" t="inlineStr">
        <is>
          <t>Metro Traders</t>
        </is>
      </c>
      <c r="F32" s="4" t="inlineStr">
        <is>
          <t>North</t>
        </is>
      </c>
      <c r="G32" s="4" t="inlineStr">
        <is>
          <t>Online</t>
        </is>
      </c>
      <c r="H32" s="4" t="inlineStr">
        <is>
          <t>Rohan</t>
        </is>
      </c>
      <c r="I32" s="6" t="n">
        <v>5</v>
      </c>
      <c r="J32" s="7" t="n">
        <v>30000</v>
      </c>
      <c r="K32" s="7" t="n">
        <v>150000</v>
      </c>
      <c r="L32" s="4" t="inlineStr"/>
    </row>
    <row r="33">
      <c r="A33" s="4" t="n">
        <v>1029</v>
      </c>
      <c r="B33" s="5" t="n">
        <v>46081</v>
      </c>
      <c r="C33" s="4" t="inlineStr">
        <is>
          <t>Monitor</t>
        </is>
      </c>
      <c r="D33" s="4" t="inlineStr">
        <is>
          <t>Electronics</t>
        </is>
      </c>
      <c r="E33" s="4" t="inlineStr">
        <is>
          <t>ABC Electronics</t>
        </is>
      </c>
      <c r="F33" s="4" t="inlineStr">
        <is>
          <t>west</t>
        </is>
      </c>
      <c r="G33" s="4" t="inlineStr">
        <is>
          <t>Online</t>
        </is>
      </c>
      <c r="H33" s="4" t="inlineStr">
        <is>
          <t>Isha</t>
        </is>
      </c>
      <c r="I33" s="6" t="n">
        <v>1</v>
      </c>
      <c r="J33" s="7" t="n">
        <v>15000</v>
      </c>
      <c r="K33" s="7" t="n">
        <v>15000</v>
      </c>
      <c r="L33" s="4" t="inlineStr"/>
    </row>
    <row r="34">
      <c r="A34" s="4" t="n">
        <v>1030</v>
      </c>
      <c r="B34" s="5" t="n">
        <v>46094</v>
      </c>
      <c r="C34" s="4" t="inlineStr">
        <is>
          <t>Laptop</t>
        </is>
      </c>
      <c r="D34" s="4" t="inlineStr">
        <is>
          <t>Electronics</t>
        </is>
      </c>
      <c r="E34" s="4" t="inlineStr">
        <is>
          <t>Metro Traders</t>
        </is>
      </c>
      <c r="F34" s="4" t="inlineStr">
        <is>
          <t>North</t>
        </is>
      </c>
      <c r="G34" s="4" t="inlineStr">
        <is>
          <t>Online</t>
        </is>
      </c>
      <c r="H34" s="4" t="inlineStr">
        <is>
          <t>Rohan</t>
        </is>
      </c>
      <c r="I34" s="6" t="n">
        <v>2</v>
      </c>
      <c r="J34" s="7" t="n">
        <v>50000</v>
      </c>
      <c r="K34" s="7" t="n">
        <v>100000</v>
      </c>
      <c r="L34" s="4" t="inlineStr">
        <is>
          <t>Promo</t>
        </is>
      </c>
    </row>
    <row r="35">
      <c r="A35" s="4" t="n">
        <v>1031</v>
      </c>
      <c r="B35" s="5" t="n">
        <v>46144</v>
      </c>
      <c r="C35" s="4" t="inlineStr">
        <is>
          <t>Monitor</t>
        </is>
      </c>
      <c r="D35" s="4" t="inlineStr">
        <is>
          <t>Electronics</t>
        </is>
      </c>
      <c r="E35" s="4" t="inlineStr">
        <is>
          <t>PQR Stores</t>
        </is>
      </c>
      <c r="F35" s="4" t="inlineStr">
        <is>
          <t>South</t>
        </is>
      </c>
      <c r="G35" s="4" t="inlineStr">
        <is>
          <t>Distributor</t>
        </is>
      </c>
      <c r="H35" s="4" t="inlineStr">
        <is>
          <t>Rohan</t>
        </is>
      </c>
      <c r="I35" s="6" t="n">
        <v>5</v>
      </c>
      <c r="J35" s="7" t="n">
        <v>15000</v>
      </c>
      <c r="K35" s="7" t="n">
        <v>75000</v>
      </c>
      <c r="L35" s="4" t="inlineStr">
        <is>
          <t>Priority</t>
        </is>
      </c>
    </row>
    <row r="36">
      <c r="A36" s="4" t="n">
        <v>1032</v>
      </c>
      <c r="B36" s="5" t="n">
        <v>46191</v>
      </c>
      <c r="C36" s="4" t="inlineStr">
        <is>
          <t>Bookshelf</t>
        </is>
      </c>
      <c r="D36" s="4" t="inlineStr">
        <is>
          <t>Furniture</t>
        </is>
      </c>
      <c r="E36" s="4" t="inlineStr">
        <is>
          <t>Prime Retail</t>
        </is>
      </c>
      <c r="F36" s="4" t="inlineStr">
        <is>
          <t>South</t>
        </is>
      </c>
      <c r="G36" s="4" t="inlineStr">
        <is>
          <t>Online</t>
        </is>
      </c>
      <c r="H36" s="4" t="inlineStr">
        <is>
          <t>Aarav</t>
        </is>
      </c>
      <c r="I36" s="6" t="n">
        <v>1</v>
      </c>
      <c r="J36" s="7" t="n">
        <v>7000</v>
      </c>
      <c r="K36" s="7" t="n">
        <v>7000</v>
      </c>
      <c r="L36" s="4" t="inlineStr">
        <is>
          <t>Promo</t>
        </is>
      </c>
    </row>
    <row r="37">
      <c r="A37" s="4" t="n">
        <v>1033</v>
      </c>
      <c r="B37" s="5" t="n">
        <v>46195</v>
      </c>
      <c r="C37" s="4" t="inlineStr">
        <is>
          <t>Office Chair</t>
        </is>
      </c>
      <c r="D37" s="4" t="inlineStr">
        <is>
          <t>Furniture</t>
        </is>
      </c>
      <c r="E37" s="4" t="inlineStr">
        <is>
          <t>Prime Retail</t>
        </is>
      </c>
      <c r="F37" s="4" t="inlineStr">
        <is>
          <t>South</t>
        </is>
      </c>
      <c r="G37" s="4" t="inlineStr">
        <is>
          <t>Store</t>
        </is>
      </c>
      <c r="H37" s="4" t="inlineStr">
        <is>
          <t>Meera</t>
        </is>
      </c>
      <c r="I37" s="6" t="n">
        <v>1</v>
      </c>
      <c r="J37" s="7" t="n">
        <v>8000</v>
      </c>
      <c r="K37" s="7" t="n">
        <v>8000</v>
      </c>
      <c r="L37" s="4" t="inlineStr"/>
    </row>
    <row r="38">
      <c r="A38" s="4" t="n">
        <v>1034</v>
      </c>
      <c r="B38" s="5" t="n">
        <v>46086</v>
      </c>
      <c r="C38" s="4" t="inlineStr">
        <is>
          <t xml:space="preserve"> Laptop </t>
        </is>
      </c>
      <c r="D38" s="4" t="inlineStr">
        <is>
          <t>Electronics</t>
        </is>
      </c>
      <c r="E38" s="4" t="inlineStr">
        <is>
          <t>Prime Retail</t>
        </is>
      </c>
      <c r="F38" s="4" t="inlineStr">
        <is>
          <t>South</t>
        </is>
      </c>
      <c r="G38" s="4" t="inlineStr">
        <is>
          <t>Distributor</t>
        </is>
      </c>
      <c r="H38" s="4" t="inlineStr">
        <is>
          <t>Kabir</t>
        </is>
      </c>
      <c r="I38" s="6" t="n">
        <v>1</v>
      </c>
      <c r="J38" s="7" t="n">
        <v>50000</v>
      </c>
      <c r="K38" s="7" t="n">
        <v>50000</v>
      </c>
      <c r="L38" s="4" t="inlineStr">
        <is>
          <t>Priority</t>
        </is>
      </c>
    </row>
    <row r="39">
      <c r="A39" s="4" t="n">
        <v>1035</v>
      </c>
      <c r="B39" s="5" t="n">
        <v>46094</v>
      </c>
      <c r="C39" s="4" t="inlineStr">
        <is>
          <t>Monitor</t>
        </is>
      </c>
      <c r="D39" s="4" t="inlineStr">
        <is>
          <t>Electronics</t>
        </is>
      </c>
      <c r="E39" s="4" t="inlineStr">
        <is>
          <t>Urban Store</t>
        </is>
      </c>
      <c r="F39" s="4" t="inlineStr">
        <is>
          <t>East</t>
        </is>
      </c>
      <c r="G39" s="4" t="inlineStr">
        <is>
          <t>Online</t>
        </is>
      </c>
      <c r="H39" s="4" t="inlineStr">
        <is>
          <t>Meera</t>
        </is>
      </c>
      <c r="I39" s="6" t="n">
        <v>2</v>
      </c>
      <c r="J39" s="7" t="n">
        <v>15000</v>
      </c>
      <c r="K39" s="7" t="n">
        <v>30000</v>
      </c>
      <c r="L39" s="4" t="inlineStr">
        <is>
          <t>Promo</t>
        </is>
      </c>
    </row>
    <row r="40">
      <c r="A40" s="4" t="n">
        <v>1036</v>
      </c>
      <c r="B40" s="5" t="n">
        <v>46035</v>
      </c>
      <c r="C40" s="4" t="inlineStr">
        <is>
          <t>Monitor</t>
        </is>
      </c>
      <c r="D40" s="4" t="inlineStr">
        <is>
          <t>Electronics</t>
        </is>
      </c>
      <c r="E40" s="4" t="inlineStr">
        <is>
          <t>XYZ Retail</t>
        </is>
      </c>
      <c r="F40" s="4" t="inlineStr">
        <is>
          <t>North</t>
        </is>
      </c>
      <c r="G40" s="4" t="inlineStr">
        <is>
          <t>Store</t>
        </is>
      </c>
      <c r="H40" s="4" t="inlineStr">
        <is>
          <t>Rohan</t>
        </is>
      </c>
      <c r="I40" s="6" t="n">
        <v>1</v>
      </c>
      <c r="J40" s="7" t="n">
        <v>15000</v>
      </c>
      <c r="K40" s="7" t="n">
        <v>15000</v>
      </c>
      <c r="L40" s="4" t="inlineStr"/>
    </row>
    <row r="41">
      <c r="A41" s="4" t="n">
        <v>1037</v>
      </c>
      <c r="B41" s="5" t="n">
        <v>46147</v>
      </c>
      <c r="C41" s="4" t="inlineStr">
        <is>
          <t>Laptop</t>
        </is>
      </c>
      <c r="D41" s="4" t="inlineStr">
        <is>
          <t>Electronics</t>
        </is>
      </c>
      <c r="E41" s="4" t="inlineStr">
        <is>
          <t>XYZ Retail</t>
        </is>
      </c>
      <c r="F41" s="4" t="inlineStr">
        <is>
          <t>North</t>
        </is>
      </c>
      <c r="G41" s="4" t="inlineStr">
        <is>
          <t>Online</t>
        </is>
      </c>
      <c r="H41" s="4" t="inlineStr">
        <is>
          <t>Diya</t>
        </is>
      </c>
      <c r="I41" s="6" t="n">
        <v>4</v>
      </c>
      <c r="J41" s="7" t="n">
        <v>50000</v>
      </c>
      <c r="K41" s="7" t="n">
        <v>200000</v>
      </c>
      <c r="L41" s="4" t="inlineStr">
        <is>
          <t>Promo</t>
        </is>
      </c>
    </row>
    <row r="42">
      <c r="A42" s="4" t="n">
        <v>1038</v>
      </c>
      <c r="B42" s="5" t="n">
        <v>46023</v>
      </c>
      <c r="C42" s="4" t="inlineStr">
        <is>
          <t>Monitor</t>
        </is>
      </c>
      <c r="D42" s="4" t="inlineStr">
        <is>
          <t>Electronics</t>
        </is>
      </c>
      <c r="E42" s="4" t="inlineStr">
        <is>
          <t>PRIME RETAIL</t>
        </is>
      </c>
      <c r="F42" s="4" t="inlineStr">
        <is>
          <t>South</t>
        </is>
      </c>
      <c r="G42" s="4" t="inlineStr">
        <is>
          <t>Online</t>
        </is>
      </c>
      <c r="H42" s="4" t="inlineStr">
        <is>
          <t>Diya</t>
        </is>
      </c>
      <c r="I42" s="6" t="n">
        <v>4</v>
      </c>
      <c r="J42" s="7" t="n">
        <v>15000</v>
      </c>
      <c r="K42" s="7" t="n">
        <v>60000</v>
      </c>
      <c r="L42" s="4" t="inlineStr">
        <is>
          <t>Promo</t>
        </is>
      </c>
    </row>
    <row r="43">
      <c r="A43" s="4" t="n">
        <v>1039</v>
      </c>
      <c r="B43" s="5" t="n">
        <v>46192</v>
      </c>
      <c r="C43" s="4" t="inlineStr">
        <is>
          <t>Keyboard</t>
        </is>
      </c>
      <c r="D43" s="4" t="inlineStr">
        <is>
          <t>Electronics</t>
        </is>
      </c>
      <c r="E43" s="4" t="inlineStr">
        <is>
          <t>Urban Store</t>
        </is>
      </c>
      <c r="F43" s="4" t="inlineStr">
        <is>
          <t>East</t>
        </is>
      </c>
      <c r="G43" s="4" t="inlineStr">
        <is>
          <t>Store</t>
        </is>
      </c>
      <c r="H43" s="4" t="inlineStr">
        <is>
          <t>Meera</t>
        </is>
      </c>
      <c r="I43" s="6" t="n">
        <v>5</v>
      </c>
      <c r="J43" s="7" t="n">
        <v>2500</v>
      </c>
      <c r="K43" s="7" t="n">
        <v>12500</v>
      </c>
      <c r="L43" s="4" t="inlineStr">
        <is>
          <t>Promo</t>
        </is>
      </c>
    </row>
    <row r="44">
      <c r="A44" s="4" t="n">
        <v>1040</v>
      </c>
      <c r="B44" s="5" t="n">
        <v>46171</v>
      </c>
      <c r="C44" s="4" t="inlineStr">
        <is>
          <t>Headphones</t>
        </is>
      </c>
      <c r="D44" s="4" t="inlineStr">
        <is>
          <t>Electronics</t>
        </is>
      </c>
      <c r="E44" s="4" t="inlineStr">
        <is>
          <t>Tech World</t>
        </is>
      </c>
      <c r="F44" s="4" t="inlineStr">
        <is>
          <t>West</t>
        </is>
      </c>
      <c r="G44" s="4" t="inlineStr">
        <is>
          <t>Store</t>
        </is>
      </c>
      <c r="H44" s="4" t="inlineStr">
        <is>
          <t>Diya</t>
        </is>
      </c>
      <c r="I44" s="6" t="n">
        <v>1</v>
      </c>
      <c r="J44" s="7" t="n">
        <v>3000</v>
      </c>
      <c r="K44" s="7" t="n">
        <v>3000</v>
      </c>
      <c r="L44" s="4" t="inlineStr"/>
    </row>
    <row r="45">
      <c r="A45" s="4" t="n">
        <v>1041</v>
      </c>
      <c r="B45" s="5" t="n">
        <v>46145</v>
      </c>
      <c r="C45" s="4" t="inlineStr">
        <is>
          <t>Laptop</t>
        </is>
      </c>
      <c r="D45" s="4" t="inlineStr">
        <is>
          <t>Electronics</t>
        </is>
      </c>
      <c r="E45" s="4" t="inlineStr">
        <is>
          <t>Metro Traders</t>
        </is>
      </c>
      <c r="F45" s="4" t="inlineStr">
        <is>
          <t>North</t>
        </is>
      </c>
      <c r="G45" s="4" t="inlineStr">
        <is>
          <t>Online</t>
        </is>
      </c>
      <c r="H45" s="4" t="inlineStr">
        <is>
          <t>Aarav</t>
        </is>
      </c>
      <c r="I45" s="6" t="n">
        <v>5</v>
      </c>
      <c r="J45" s="7" t="n">
        <v>50000</v>
      </c>
      <c r="K45" s="7" t="n">
        <v>250000</v>
      </c>
      <c r="L45" s="4" t="inlineStr"/>
    </row>
    <row r="46">
      <c r="A46" s="4" t="n">
        <v>1042</v>
      </c>
      <c r="B46" s="5" t="n">
        <v>46040</v>
      </c>
      <c r="C46" s="4" t="inlineStr">
        <is>
          <t>Headphones</t>
        </is>
      </c>
      <c r="D46" s="4" t="inlineStr">
        <is>
          <t>Electronics</t>
        </is>
      </c>
      <c r="E46" s="4" t="inlineStr">
        <is>
          <t>ABC Electronics</t>
        </is>
      </c>
      <c r="F46" s="4" t="inlineStr">
        <is>
          <t>West</t>
        </is>
      </c>
      <c r="G46" s="4" t="inlineStr">
        <is>
          <t>Distributor</t>
        </is>
      </c>
      <c r="H46" s="4" t="inlineStr">
        <is>
          <t>Aarav</t>
        </is>
      </c>
      <c r="I46" s="6" t="n">
        <v>2</v>
      </c>
      <c r="J46" s="7" t="n">
        <v>3000</v>
      </c>
      <c r="K46" s="7" t="n">
        <v>6000</v>
      </c>
      <c r="L46" s="4" t="inlineStr"/>
    </row>
    <row r="47">
      <c r="A47" s="4" t="n">
        <v>1043</v>
      </c>
      <c r="B47" s="5" t="n">
        <v>46086</v>
      </c>
      <c r="C47" s="4" t="inlineStr">
        <is>
          <t>Smartphone</t>
        </is>
      </c>
      <c r="D47" s="4" t="inlineStr">
        <is>
          <t>Electronics</t>
        </is>
      </c>
      <c r="E47" s="4" t="inlineStr">
        <is>
          <t>Tech World</t>
        </is>
      </c>
      <c r="F47" s="4" t="inlineStr">
        <is>
          <t>West</t>
        </is>
      </c>
      <c r="G47" s="4" t="inlineStr">
        <is>
          <t>Store</t>
        </is>
      </c>
      <c r="H47" s="4" t="inlineStr">
        <is>
          <t>Aarav</t>
        </is>
      </c>
      <c r="I47" s="6" t="n">
        <v>5</v>
      </c>
      <c r="J47" s="7" t="n">
        <v>30000</v>
      </c>
      <c r="K47" s="7" t="n">
        <v>150000</v>
      </c>
      <c r="L47" s="4" t="inlineStr"/>
    </row>
    <row r="48">
      <c r="A48" s="4" t="n">
        <v>1044</v>
      </c>
      <c r="B48" s="5" t="n">
        <v>46167</v>
      </c>
      <c r="C48" s="4" t="inlineStr">
        <is>
          <t>Laptop</t>
        </is>
      </c>
      <c r="D48" s="4" t="inlineStr">
        <is>
          <t>Electronics</t>
        </is>
      </c>
      <c r="E48" s="4" t="inlineStr">
        <is>
          <t>XYZ Retail</t>
        </is>
      </c>
      <c r="F48" s="4" t="inlineStr">
        <is>
          <t>North</t>
        </is>
      </c>
      <c r="G48" s="4" t="inlineStr">
        <is>
          <t>Store</t>
        </is>
      </c>
      <c r="H48" s="4" t="inlineStr">
        <is>
          <t>Isha</t>
        </is>
      </c>
      <c r="I48" s="6" t="n">
        <v>5</v>
      </c>
      <c r="J48" s="7" t="n">
        <v>50000</v>
      </c>
      <c r="K48" s="7" t="n">
        <v>250000</v>
      </c>
      <c r="L48" s="4" t="inlineStr"/>
    </row>
    <row r="49">
      <c r="A49" s="4" t="n">
        <v>1045</v>
      </c>
      <c r="B49" s="5" t="n">
        <v>46084</v>
      </c>
      <c r="C49" s="4" t="inlineStr">
        <is>
          <t>Office Chair</t>
        </is>
      </c>
      <c r="D49" s="4" t="inlineStr">
        <is>
          <t>Furniture</t>
        </is>
      </c>
      <c r="E49" s="4" t="inlineStr">
        <is>
          <t>Smart Mart</t>
        </is>
      </c>
      <c r="F49" s="4" t="inlineStr">
        <is>
          <t>East</t>
        </is>
      </c>
      <c r="G49" s="4" t="inlineStr">
        <is>
          <t>Online</t>
        </is>
      </c>
      <c r="H49" s="4" t="inlineStr">
        <is>
          <t>Isha</t>
        </is>
      </c>
      <c r="I49" s="6" t="n">
        <v>3</v>
      </c>
      <c r="J49" s="7" t="n">
        <v>8000</v>
      </c>
      <c r="K49" s="7" t="n">
        <v>24000</v>
      </c>
      <c r="L49" s="4" t="inlineStr">
        <is>
          <t>Repeat customer</t>
        </is>
      </c>
    </row>
    <row r="50">
      <c r="A50" s="4" t="n">
        <v>1046</v>
      </c>
      <c r="B50" s="5" t="n">
        <v>46140</v>
      </c>
      <c r="C50" s="4" t="inlineStr">
        <is>
          <t>Desk</t>
        </is>
      </c>
      <c r="D50" s="4" t="inlineStr">
        <is>
          <t>Furniture</t>
        </is>
      </c>
      <c r="E50" s="4" t="inlineStr">
        <is>
          <t>pqr stores</t>
        </is>
      </c>
      <c r="F50" s="4" t="inlineStr">
        <is>
          <t>South</t>
        </is>
      </c>
      <c r="G50" s="4" t="inlineStr">
        <is>
          <t>Distributor</t>
        </is>
      </c>
      <c r="H50" s="4" t="inlineStr">
        <is>
          <t>Isha</t>
        </is>
      </c>
      <c r="I50" s="6" t="n">
        <v>3</v>
      </c>
      <c r="J50" s="7" t="n">
        <v>12000</v>
      </c>
      <c r="K50" s="7" t="n">
        <v>36000</v>
      </c>
      <c r="L50" s="4" t="inlineStr">
        <is>
          <t>Repeat customer</t>
        </is>
      </c>
    </row>
    <row r="51">
      <c r="A51" s="4" t="n">
        <v>1047</v>
      </c>
      <c r="B51" s="5" t="n">
        <v>46048</v>
      </c>
      <c r="C51" s="4" t="inlineStr">
        <is>
          <t>Smartphone</t>
        </is>
      </c>
      <c r="D51" s="4" t="inlineStr">
        <is>
          <t>Electronics</t>
        </is>
      </c>
      <c r="E51" s="4" t="inlineStr">
        <is>
          <t>ABC Electronics</t>
        </is>
      </c>
      <c r="F51" s="4" t="inlineStr">
        <is>
          <t>West</t>
        </is>
      </c>
      <c r="G51" s="4" t="inlineStr">
        <is>
          <t>Store</t>
        </is>
      </c>
      <c r="H51" s="4" t="inlineStr">
        <is>
          <t>Rohan</t>
        </is>
      </c>
      <c r="I51" s="6" t="n">
        <v>5</v>
      </c>
      <c r="J51" s="7" t="n">
        <v>30000</v>
      </c>
      <c r="K51" s="7" t="n">
        <v>150000</v>
      </c>
      <c r="L51" s="4" t="inlineStr"/>
    </row>
    <row r="52">
      <c r="A52" s="4" t="n">
        <v>1048</v>
      </c>
      <c r="B52" s="5" t="n">
        <v>46085</v>
      </c>
      <c r="C52" s="4" t="inlineStr">
        <is>
          <t>Monitor</t>
        </is>
      </c>
      <c r="D52" s="4" t="inlineStr">
        <is>
          <t>Electronics</t>
        </is>
      </c>
      <c r="E52" s="4" t="inlineStr">
        <is>
          <t>Smart Mart</t>
        </is>
      </c>
      <c r="F52" s="4" t="inlineStr">
        <is>
          <t>East</t>
        </is>
      </c>
      <c r="G52" s="4" t="inlineStr">
        <is>
          <t>Online</t>
        </is>
      </c>
      <c r="H52" s="4" t="inlineStr">
        <is>
          <t>Kabir</t>
        </is>
      </c>
      <c r="I52" s="6" t="n">
        <v>1</v>
      </c>
      <c r="J52" s="7" t="n">
        <v>15000</v>
      </c>
      <c r="K52" s="7" t="n">
        <v>15000</v>
      </c>
      <c r="L52" s="4" t="inlineStr">
        <is>
          <t>Repeat customer</t>
        </is>
      </c>
    </row>
    <row r="53">
      <c r="A53" s="4" t="n">
        <v>1049</v>
      </c>
      <c r="B53" s="5" t="n">
        <v>46179</v>
      </c>
      <c r="C53" s="4" t="inlineStr">
        <is>
          <t>Keyboard</t>
        </is>
      </c>
      <c r="D53" s="4" t="inlineStr">
        <is>
          <t>Electronics</t>
        </is>
      </c>
      <c r="E53" s="4" t="inlineStr">
        <is>
          <t>PQR Stores</t>
        </is>
      </c>
      <c r="F53" s="4" t="inlineStr">
        <is>
          <t>South</t>
        </is>
      </c>
      <c r="G53" s="4" t="inlineStr">
        <is>
          <t>Store</t>
        </is>
      </c>
      <c r="H53" s="4" t="inlineStr">
        <is>
          <t>Rohan</t>
        </is>
      </c>
      <c r="I53" s="6" t="n">
        <v>3</v>
      </c>
      <c r="J53" s="7" t="n">
        <v>2500</v>
      </c>
      <c r="K53" s="7" t="n">
        <v>7500</v>
      </c>
      <c r="L53" s="4" t="inlineStr"/>
    </row>
    <row r="54">
      <c r="A54" s="4" t="n">
        <v>1050</v>
      </c>
      <c r="B54" s="5" t="n">
        <v>46090</v>
      </c>
      <c r="C54" s="4" t="inlineStr">
        <is>
          <t>Laptop</t>
        </is>
      </c>
      <c r="D54" s="4" t="inlineStr">
        <is>
          <t>Electronics</t>
        </is>
      </c>
      <c r="E54" s="4" t="inlineStr">
        <is>
          <t>Smart Mart</t>
        </is>
      </c>
      <c r="F54" s="4" t="inlineStr">
        <is>
          <t>East</t>
        </is>
      </c>
      <c r="G54" s="4" t="inlineStr">
        <is>
          <t>Distributor</t>
        </is>
      </c>
      <c r="H54" s="4" t="inlineStr">
        <is>
          <t>Aarav</t>
        </is>
      </c>
      <c r="I54" s="6" t="n">
        <v>2</v>
      </c>
      <c r="J54" s="7" t="n">
        <v>50000</v>
      </c>
      <c r="K54" s="7" t="n">
        <v>100000</v>
      </c>
      <c r="L54" s="4" t="inlineStr"/>
    </row>
    <row r="55">
      <c r="A55" s="4" t="n">
        <v>1051</v>
      </c>
      <c r="B55" s="5" t="n">
        <v>46076</v>
      </c>
      <c r="C55" s="4" t="inlineStr">
        <is>
          <t xml:space="preserve"> Smartphone </t>
        </is>
      </c>
      <c r="D55" s="4" t="inlineStr">
        <is>
          <t>Electronics</t>
        </is>
      </c>
      <c r="E55" s="4" t="inlineStr">
        <is>
          <t>PQR Stores</t>
        </is>
      </c>
      <c r="F55" s="4" t="inlineStr">
        <is>
          <t>South</t>
        </is>
      </c>
      <c r="G55" s="4" t="inlineStr">
        <is>
          <t>Store</t>
        </is>
      </c>
      <c r="H55" s="4" t="inlineStr">
        <is>
          <t>Kabir</t>
        </is>
      </c>
      <c r="I55" s="6" t="n">
        <v>5</v>
      </c>
      <c r="J55" s="7" t="n">
        <v>30000</v>
      </c>
      <c r="K55" s="7" t="n">
        <v>150000</v>
      </c>
      <c r="L55" s="4" t="inlineStr">
        <is>
          <t>Repeat customer</t>
        </is>
      </c>
    </row>
    <row r="56">
      <c r="A56" s="4" t="n">
        <v>1052</v>
      </c>
      <c r="B56" s="5" t="n">
        <v>46036</v>
      </c>
      <c r="C56" s="4" t="inlineStr">
        <is>
          <t>Monitor</t>
        </is>
      </c>
      <c r="D56" s="4" t="inlineStr">
        <is>
          <t>Electronics</t>
        </is>
      </c>
      <c r="E56" s="4" t="inlineStr">
        <is>
          <t>Smart Mart</t>
        </is>
      </c>
      <c r="F56" s="4" t="inlineStr">
        <is>
          <t>East</t>
        </is>
      </c>
      <c r="G56" s="4" t="inlineStr">
        <is>
          <t>Distributor</t>
        </is>
      </c>
      <c r="H56" s="4" t="inlineStr">
        <is>
          <t>Meera</t>
        </is>
      </c>
      <c r="I56" s="6" t="n">
        <v>3</v>
      </c>
      <c r="J56" s="7" t="n">
        <v>15000</v>
      </c>
      <c r="K56" s="7" t="n">
        <v>45000</v>
      </c>
      <c r="L56" s="4" t="inlineStr"/>
    </row>
    <row r="57">
      <c r="A57" s="4" t="n">
        <v>1053</v>
      </c>
      <c r="B57" s="5" t="n">
        <v>46056</v>
      </c>
      <c r="C57" s="4" t="inlineStr">
        <is>
          <t>Desk</t>
        </is>
      </c>
      <c r="D57" s="4" t="inlineStr">
        <is>
          <t>Furniture</t>
        </is>
      </c>
      <c r="E57" s="4" t="inlineStr">
        <is>
          <t>Smart Mart</t>
        </is>
      </c>
      <c r="F57" s="4" t="inlineStr">
        <is>
          <t>East</t>
        </is>
      </c>
      <c r="G57" s="4" t="inlineStr">
        <is>
          <t>Online</t>
        </is>
      </c>
      <c r="H57" s="4" t="inlineStr">
        <is>
          <t>Aarav</t>
        </is>
      </c>
      <c r="I57" s="6" t="n">
        <v>3</v>
      </c>
      <c r="J57" s="7" t="n">
        <v>12000</v>
      </c>
      <c r="K57" s="7" t="n">
        <v>36000</v>
      </c>
      <c r="L57" s="4" t="inlineStr">
        <is>
          <t>Repeat customer</t>
        </is>
      </c>
    </row>
    <row r="58">
      <c r="A58" s="4" t="n">
        <v>1054</v>
      </c>
      <c r="B58" s="5" t="n">
        <v>46166</v>
      </c>
      <c r="C58" s="4" t="inlineStr">
        <is>
          <t>Headphones</t>
        </is>
      </c>
      <c r="D58" s="4" t="inlineStr">
        <is>
          <t>Electronics</t>
        </is>
      </c>
      <c r="E58" s="4" t="inlineStr">
        <is>
          <t>Urban Store</t>
        </is>
      </c>
      <c r="F58" s="4" t="inlineStr">
        <is>
          <t>East</t>
        </is>
      </c>
      <c r="G58" s="4" t="inlineStr">
        <is>
          <t>Distributor</t>
        </is>
      </c>
      <c r="H58" s="4" t="inlineStr">
        <is>
          <t>Isha</t>
        </is>
      </c>
      <c r="I58" s="6" t="n">
        <v>4</v>
      </c>
      <c r="J58" s="7" t="n">
        <v>3000</v>
      </c>
      <c r="K58" s="7" t="n">
        <v>12000</v>
      </c>
      <c r="L58" s="4" t="inlineStr"/>
    </row>
    <row r="59">
      <c r="A59" s="4" t="n">
        <v>1055</v>
      </c>
      <c r="B59" s="5" t="n">
        <v>46032</v>
      </c>
      <c r="C59" s="4" t="inlineStr">
        <is>
          <t>Smartphone</t>
        </is>
      </c>
      <c r="D59" s="4" t="inlineStr">
        <is>
          <t>Electronics</t>
        </is>
      </c>
      <c r="E59" s="4" t="inlineStr">
        <is>
          <t>XYZ Retail</t>
        </is>
      </c>
      <c r="F59" s="4" t="inlineStr">
        <is>
          <t>North</t>
        </is>
      </c>
      <c r="G59" s="4" t="inlineStr">
        <is>
          <t>Distributor</t>
        </is>
      </c>
      <c r="H59" s="4" t="inlineStr">
        <is>
          <t>Diya</t>
        </is>
      </c>
      <c r="I59" s="6" t="n">
        <v>5</v>
      </c>
      <c r="J59" s="7" t="n">
        <v>30000</v>
      </c>
      <c r="K59" s="7" t="n">
        <v>150000</v>
      </c>
      <c r="L59" s="4" t="inlineStr">
        <is>
          <t>Repeat customer</t>
        </is>
      </c>
    </row>
    <row r="60">
      <c r="A60" s="4" t="n">
        <v>1056</v>
      </c>
      <c r="B60" s="5" t="n">
        <v>46116</v>
      </c>
      <c r="C60" s="4" t="inlineStr">
        <is>
          <t>Headphones</t>
        </is>
      </c>
      <c r="D60" s="4" t="inlineStr">
        <is>
          <t>Electronics</t>
        </is>
      </c>
      <c r="E60" s="4" t="inlineStr">
        <is>
          <t>Prime Retail</t>
        </is>
      </c>
      <c r="F60" s="4" t="inlineStr">
        <is>
          <t>South</t>
        </is>
      </c>
      <c r="G60" s="4" t="inlineStr">
        <is>
          <t>Online</t>
        </is>
      </c>
      <c r="H60" s="4" t="inlineStr">
        <is>
          <t>Aarav</t>
        </is>
      </c>
      <c r="I60" s="6" t="n">
        <v>3</v>
      </c>
      <c r="J60" s="7" t="n">
        <v>3000</v>
      </c>
      <c r="K60" s="7" t="n">
        <v>9000</v>
      </c>
      <c r="L60" s="4" t="inlineStr"/>
    </row>
    <row r="61">
      <c r="A61" s="4" t="n">
        <v>1057</v>
      </c>
      <c r="B61" s="5" t="n">
        <v>46113</v>
      </c>
      <c r="C61" s="4" t="inlineStr">
        <is>
          <t>Office Chair</t>
        </is>
      </c>
      <c r="D61" s="4" t="inlineStr">
        <is>
          <t>Furniture</t>
        </is>
      </c>
      <c r="E61" s="4" t="inlineStr">
        <is>
          <t>TECH WORLD</t>
        </is>
      </c>
      <c r="F61" s="4" t="inlineStr">
        <is>
          <t>West</t>
        </is>
      </c>
      <c r="G61" s="4" t="inlineStr">
        <is>
          <t>Distributor</t>
        </is>
      </c>
      <c r="H61" s="4" t="inlineStr">
        <is>
          <t>Diya</t>
        </is>
      </c>
      <c r="I61" s="6" t="n">
        <v>1</v>
      </c>
      <c r="J61" s="7" t="n">
        <v>8000</v>
      </c>
      <c r="K61" s="7" t="n">
        <v>8000</v>
      </c>
      <c r="L61" s="4" t="inlineStr"/>
    </row>
    <row r="62">
      <c r="A62" s="4" t="n">
        <v>1058</v>
      </c>
      <c r="B62" s="5" t="n">
        <v>46128</v>
      </c>
      <c r="C62" s="4" t="inlineStr">
        <is>
          <t>Desk</t>
        </is>
      </c>
      <c r="D62" s="4" t="inlineStr">
        <is>
          <t>Furniture</t>
        </is>
      </c>
      <c r="E62" s="4" t="inlineStr">
        <is>
          <t>PQR Stores</t>
        </is>
      </c>
      <c r="F62" s="4" t="inlineStr">
        <is>
          <t>south</t>
        </is>
      </c>
      <c r="G62" s="4" t="inlineStr">
        <is>
          <t>Online</t>
        </is>
      </c>
      <c r="H62" s="4" t="inlineStr">
        <is>
          <t>Diya</t>
        </is>
      </c>
      <c r="I62" s="6" t="n">
        <v>2</v>
      </c>
      <c r="J62" s="7" t="n">
        <v>12000</v>
      </c>
      <c r="K62" s="7" t="n">
        <v>24000</v>
      </c>
      <c r="L62" s="4" t="inlineStr"/>
    </row>
    <row r="63">
      <c r="A63" s="4" t="n">
        <v>1059</v>
      </c>
      <c r="B63" s="5" t="n">
        <v>46091</v>
      </c>
      <c r="C63" s="4" t="inlineStr">
        <is>
          <t>Headphones</t>
        </is>
      </c>
      <c r="D63" s="4" t="inlineStr">
        <is>
          <t>Electronics</t>
        </is>
      </c>
      <c r="E63" s="4" t="inlineStr">
        <is>
          <t>Metro Traders</t>
        </is>
      </c>
      <c r="F63" s="4" t="inlineStr">
        <is>
          <t>North</t>
        </is>
      </c>
      <c r="G63" s="4" t="inlineStr">
        <is>
          <t>Store</t>
        </is>
      </c>
      <c r="H63" s="4" t="inlineStr">
        <is>
          <t>Isha</t>
        </is>
      </c>
      <c r="I63" s="6" t="n">
        <v>2</v>
      </c>
      <c r="J63" s="7" t="n">
        <v>3000</v>
      </c>
      <c r="K63" s="7" t="n">
        <v>6000</v>
      </c>
      <c r="L63" s="4" t="inlineStr">
        <is>
          <t>Priority</t>
        </is>
      </c>
    </row>
    <row r="64">
      <c r="A64" s="4" t="n">
        <v>1060</v>
      </c>
      <c r="B64" s="5" t="n">
        <v>46074</v>
      </c>
      <c r="C64" s="4" t="inlineStr">
        <is>
          <t>Smartphone</t>
        </is>
      </c>
      <c r="D64" s="4" t="inlineStr">
        <is>
          <t>Electronics</t>
        </is>
      </c>
      <c r="E64" s="4" t="inlineStr">
        <is>
          <t>Prime Retail</t>
        </is>
      </c>
      <c r="F64" s="4" t="inlineStr">
        <is>
          <t>South</t>
        </is>
      </c>
      <c r="G64" s="4" t="inlineStr">
        <is>
          <t>Online</t>
        </is>
      </c>
      <c r="H64" s="4" t="inlineStr">
        <is>
          <t>Meera</t>
        </is>
      </c>
      <c r="I64" s="6" t="n">
        <v>2</v>
      </c>
      <c r="J64" s="7" t="n">
        <v>30000</v>
      </c>
      <c r="K64" s="7" t="n">
        <v>60000</v>
      </c>
      <c r="L64" s="4" t="inlineStr">
        <is>
          <t>Promo</t>
        </is>
      </c>
    </row>
    <row r="65">
      <c r="A65" s="4" t="n">
        <v>1061</v>
      </c>
      <c r="B65" s="5" t="n">
        <v>46191</v>
      </c>
      <c r="C65" s="4" t="inlineStr">
        <is>
          <t>Office Chair</t>
        </is>
      </c>
      <c r="D65" s="4" t="inlineStr">
        <is>
          <t>Furniture</t>
        </is>
      </c>
      <c r="E65" s="4" t="inlineStr">
        <is>
          <t>Smart Mart</t>
        </is>
      </c>
      <c r="F65" s="4" t="inlineStr">
        <is>
          <t>East</t>
        </is>
      </c>
      <c r="G65" s="4" t="inlineStr">
        <is>
          <t>Online</t>
        </is>
      </c>
      <c r="H65" s="4" t="inlineStr">
        <is>
          <t>Diya</t>
        </is>
      </c>
      <c r="I65" s="6" t="n">
        <v>1</v>
      </c>
      <c r="J65" s="7" t="n">
        <v>8000</v>
      </c>
      <c r="K65" s="7" t="n">
        <v>8000</v>
      </c>
      <c r="L65" s="4" t="inlineStr">
        <is>
          <t>Priority</t>
        </is>
      </c>
    </row>
    <row r="66">
      <c r="A66" s="4" t="n">
        <v>1062</v>
      </c>
      <c r="B66" s="5" t="n">
        <v>46112</v>
      </c>
      <c r="C66" s="4" t="inlineStr">
        <is>
          <t>Desk</t>
        </is>
      </c>
      <c r="D66" s="4" t="inlineStr">
        <is>
          <t>Furniture</t>
        </is>
      </c>
      <c r="E66" s="4" t="inlineStr">
        <is>
          <t>Metro Traders</t>
        </is>
      </c>
      <c r="F66" s="4" t="inlineStr">
        <is>
          <t>North</t>
        </is>
      </c>
      <c r="G66" s="4" t="inlineStr">
        <is>
          <t>Store</t>
        </is>
      </c>
      <c r="H66" s="4" t="inlineStr">
        <is>
          <t>Aarav</t>
        </is>
      </c>
      <c r="I66" s="6" t="n">
        <v>3</v>
      </c>
      <c r="J66" s="7" t="n">
        <v>12000</v>
      </c>
      <c r="K66" s="7" t="n">
        <v>36000</v>
      </c>
      <c r="L66" s="4" t="inlineStr"/>
    </row>
    <row r="67">
      <c r="A67" s="4" t="n">
        <v>1063</v>
      </c>
      <c r="B67" s="5" t="n">
        <v>46068</v>
      </c>
      <c r="C67" s="4" t="inlineStr">
        <is>
          <t>Desk</t>
        </is>
      </c>
      <c r="D67" s="4" t="inlineStr">
        <is>
          <t>Furniture</t>
        </is>
      </c>
      <c r="E67" s="4" t="inlineStr">
        <is>
          <t>Metro Traders</t>
        </is>
      </c>
      <c r="F67" s="4" t="inlineStr">
        <is>
          <t>North</t>
        </is>
      </c>
      <c r="G67" s="4" t="inlineStr">
        <is>
          <t>Online</t>
        </is>
      </c>
      <c r="H67" s="4" t="inlineStr">
        <is>
          <t>Aarav</t>
        </is>
      </c>
      <c r="I67" s="6" t="n">
        <v>3</v>
      </c>
      <c r="J67" s="7" t="n">
        <v>12000</v>
      </c>
      <c r="K67" s="7" t="n">
        <v>36000</v>
      </c>
      <c r="L67" s="4" t="inlineStr"/>
    </row>
    <row r="68">
      <c r="A68" s="4" t="n">
        <v>1064</v>
      </c>
      <c r="B68" s="5" t="n">
        <v>46111</v>
      </c>
      <c r="C68" s="4" t="inlineStr">
        <is>
          <t>Keyboard</t>
        </is>
      </c>
      <c r="D68" s="4" t="inlineStr">
        <is>
          <t>Electronics</t>
        </is>
      </c>
      <c r="E68" s="4" t="inlineStr">
        <is>
          <t>ABC Electronics</t>
        </is>
      </c>
      <c r="F68" s="4" t="inlineStr">
        <is>
          <t>West</t>
        </is>
      </c>
      <c r="G68" s="4" t="inlineStr">
        <is>
          <t>Online</t>
        </is>
      </c>
      <c r="H68" s="4" t="inlineStr">
        <is>
          <t>Rohan</t>
        </is>
      </c>
      <c r="I68" s="6" t="n">
        <v>4</v>
      </c>
      <c r="J68" s="7" t="n">
        <v>2500</v>
      </c>
      <c r="K68" s="7" t="n">
        <v>10000</v>
      </c>
      <c r="L68" s="4" t="inlineStr">
        <is>
          <t>Repeat customer</t>
        </is>
      </c>
    </row>
    <row r="69">
      <c r="A69" s="4" t="n">
        <v>1065</v>
      </c>
      <c r="B69" s="5" t="n">
        <v>46088</v>
      </c>
      <c r="C69" s="4" t="inlineStr">
        <is>
          <t>Desk</t>
        </is>
      </c>
      <c r="D69" s="4" t="inlineStr">
        <is>
          <t>Furniture</t>
        </is>
      </c>
      <c r="E69" s="4" t="inlineStr">
        <is>
          <t>XYZ Retail</t>
        </is>
      </c>
      <c r="F69" s="4" t="inlineStr">
        <is>
          <t>North</t>
        </is>
      </c>
      <c r="G69" s="4" t="inlineStr">
        <is>
          <t>Store</t>
        </is>
      </c>
      <c r="H69" s="4" t="inlineStr">
        <is>
          <t>Rohan</t>
        </is>
      </c>
      <c r="I69" s="6" t="n">
        <v>2</v>
      </c>
      <c r="J69" s="7" t="n">
        <v>12000</v>
      </c>
      <c r="K69" s="7" t="n">
        <v>24000</v>
      </c>
      <c r="L69" s="4" t="inlineStr"/>
    </row>
    <row r="70">
      <c r="A70" s="4" t="n">
        <v>1066</v>
      </c>
      <c r="B70" s="5" t="n">
        <v>46116</v>
      </c>
      <c r="C70" s="4" t="inlineStr">
        <is>
          <t>Desk</t>
        </is>
      </c>
      <c r="D70" s="4" t="inlineStr">
        <is>
          <t>Furniture</t>
        </is>
      </c>
      <c r="E70" s="4" t="inlineStr">
        <is>
          <t>ABC Electronics</t>
        </is>
      </c>
      <c r="F70" s="4" t="inlineStr">
        <is>
          <t>West</t>
        </is>
      </c>
      <c r="G70" s="4" t="inlineStr">
        <is>
          <t>Distributor</t>
        </is>
      </c>
      <c r="H70" s="4" t="inlineStr">
        <is>
          <t>Rohan</t>
        </is>
      </c>
      <c r="I70" s="6" t="n">
        <v>2</v>
      </c>
      <c r="J70" s="7" t="n">
        <v>12000</v>
      </c>
      <c r="K70" s="7" t="n">
        <v>24000</v>
      </c>
      <c r="L70" s="4" t="inlineStr">
        <is>
          <t>Promo</t>
        </is>
      </c>
    </row>
    <row r="71">
      <c r="A71" s="4" t="n">
        <v>1067</v>
      </c>
      <c r="B71" s="5" t="n">
        <v>46099</v>
      </c>
      <c r="C71" s="4" t="inlineStr">
        <is>
          <t>Smartphone</t>
        </is>
      </c>
      <c r="D71" s="4" t="inlineStr">
        <is>
          <t>Electronics</t>
        </is>
      </c>
      <c r="E71" s="4" t="inlineStr">
        <is>
          <t>Metro Traders</t>
        </is>
      </c>
      <c r="F71" s="4" t="inlineStr">
        <is>
          <t>North</t>
        </is>
      </c>
      <c r="G71" s="4" t="inlineStr">
        <is>
          <t>Distributor</t>
        </is>
      </c>
      <c r="H71" s="4" t="inlineStr">
        <is>
          <t>Kabir</t>
        </is>
      </c>
      <c r="I71" s="6" t="n">
        <v>1</v>
      </c>
      <c r="J71" s="7" t="n">
        <v>30000</v>
      </c>
      <c r="K71" s="7" t="n">
        <v>30000</v>
      </c>
      <c r="L71" s="4" t="inlineStr"/>
    </row>
    <row r="72">
      <c r="A72" s="4" t="n">
        <v>1068</v>
      </c>
      <c r="B72" s="5" t="n">
        <v>46164</v>
      </c>
      <c r="C72" s="4" t="inlineStr">
        <is>
          <t xml:space="preserve"> Keyboard </t>
        </is>
      </c>
      <c r="D72" s="4" t="inlineStr">
        <is>
          <t>Electronics</t>
        </is>
      </c>
      <c r="E72" s="4" t="inlineStr">
        <is>
          <t>Prime Retail</t>
        </is>
      </c>
      <c r="F72" s="4" t="inlineStr">
        <is>
          <t>South</t>
        </is>
      </c>
      <c r="G72" s="4" t="inlineStr">
        <is>
          <t>Store</t>
        </is>
      </c>
      <c r="H72" s="4" t="inlineStr">
        <is>
          <t>Meera</t>
        </is>
      </c>
      <c r="I72" s="6" t="n">
        <v>3</v>
      </c>
      <c r="J72" s="7" t="n">
        <v>2500</v>
      </c>
      <c r="K72" s="7" t="n">
        <v>7500</v>
      </c>
      <c r="L72" s="4" t="inlineStr">
        <is>
          <t>Priority</t>
        </is>
      </c>
    </row>
    <row r="73">
      <c r="A73" s="4" t="n">
        <v>1069</v>
      </c>
      <c r="B73" s="5" t="n">
        <v>46180</v>
      </c>
      <c r="C73" s="4" t="inlineStr">
        <is>
          <t>Monitor</t>
        </is>
      </c>
      <c r="D73" s="4" t="inlineStr">
        <is>
          <t>Electronics</t>
        </is>
      </c>
      <c r="E73" s="4" t="inlineStr">
        <is>
          <t>prime retail</t>
        </is>
      </c>
      <c r="F73" s="4" t="inlineStr">
        <is>
          <t>South</t>
        </is>
      </c>
      <c r="G73" s="4" t="inlineStr">
        <is>
          <t>Distributor</t>
        </is>
      </c>
      <c r="H73" s="4" t="inlineStr">
        <is>
          <t>Meera</t>
        </is>
      </c>
      <c r="I73" s="6" t="n">
        <v>2</v>
      </c>
      <c r="J73" s="7" t="n">
        <v>15000</v>
      </c>
      <c r="K73" s="7" t="n">
        <v>30000</v>
      </c>
      <c r="L73" s="4" t="inlineStr"/>
    </row>
    <row r="74">
      <c r="A74" s="4" t="n">
        <v>1070</v>
      </c>
      <c r="B74" s="5" t="n">
        <v>46096</v>
      </c>
      <c r="C74" s="4" t="inlineStr">
        <is>
          <t>Keyboard</t>
        </is>
      </c>
      <c r="D74" s="4" t="inlineStr">
        <is>
          <t>Electronics</t>
        </is>
      </c>
      <c r="E74" s="4" t="inlineStr">
        <is>
          <t>Prime Retail</t>
        </is>
      </c>
      <c r="F74" s="4" t="inlineStr">
        <is>
          <t>South</t>
        </is>
      </c>
      <c r="G74" s="4" t="inlineStr">
        <is>
          <t>Distributor</t>
        </is>
      </c>
      <c r="H74" s="4" t="inlineStr">
        <is>
          <t>Aarav</t>
        </is>
      </c>
      <c r="I74" s="6" t="n">
        <v>3</v>
      </c>
      <c r="J74" s="7" t="n">
        <v>2500</v>
      </c>
      <c r="K74" s="7" t="n">
        <v>7500</v>
      </c>
      <c r="L74" s="4" t="inlineStr">
        <is>
          <t>Priority</t>
        </is>
      </c>
    </row>
    <row r="75">
      <c r="A75" s="4" t="n">
        <v>1071</v>
      </c>
      <c r="B75" s="5" t="n">
        <v>46195</v>
      </c>
      <c r="C75" s="4" t="inlineStr">
        <is>
          <t>Desk</t>
        </is>
      </c>
      <c r="D75" s="4" t="inlineStr">
        <is>
          <t>Furniture</t>
        </is>
      </c>
      <c r="E75" s="4" t="inlineStr">
        <is>
          <t>Metro Traders</t>
        </is>
      </c>
      <c r="F75" s="4" t="inlineStr">
        <is>
          <t>North</t>
        </is>
      </c>
      <c r="G75" s="4" t="inlineStr">
        <is>
          <t>Store</t>
        </is>
      </c>
      <c r="H75" s="4" t="inlineStr">
        <is>
          <t>Meera</t>
        </is>
      </c>
      <c r="I75" s="6" t="n">
        <v>4</v>
      </c>
      <c r="J75" s="7" t="n">
        <v>12000</v>
      </c>
      <c r="K75" s="7" t="n">
        <v>48000</v>
      </c>
      <c r="L75" s="4" t="inlineStr">
        <is>
          <t>Priority</t>
        </is>
      </c>
    </row>
    <row r="76">
      <c r="A76" s="4" t="n">
        <v>1072</v>
      </c>
      <c r="B76" s="5" t="n">
        <v>46154</v>
      </c>
      <c r="C76" s="4" t="inlineStr">
        <is>
          <t>Bookshelf</t>
        </is>
      </c>
      <c r="D76" s="4" t="inlineStr">
        <is>
          <t>Furniture</t>
        </is>
      </c>
      <c r="E76" s="4" t="inlineStr">
        <is>
          <t>PQR Stores</t>
        </is>
      </c>
      <c r="F76" s="4" t="inlineStr">
        <is>
          <t>South</t>
        </is>
      </c>
      <c r="G76" s="4" t="inlineStr">
        <is>
          <t>Distributor</t>
        </is>
      </c>
      <c r="H76" s="4" t="inlineStr">
        <is>
          <t>Aarav</t>
        </is>
      </c>
      <c r="I76" s="6" t="n">
        <v>3</v>
      </c>
      <c r="J76" s="7" t="n">
        <v>7000</v>
      </c>
      <c r="K76" s="7" t="n">
        <v>21000</v>
      </c>
      <c r="L76" s="4" t="inlineStr"/>
    </row>
    <row r="77">
      <c r="A77" s="4" t="n">
        <v>1073</v>
      </c>
      <c r="B77" s="5" t="n">
        <v>46080</v>
      </c>
      <c r="C77" s="4" t="inlineStr">
        <is>
          <t>Office Chair</t>
        </is>
      </c>
      <c r="D77" s="4" t="inlineStr">
        <is>
          <t>Furniture</t>
        </is>
      </c>
      <c r="E77" s="4" t="inlineStr">
        <is>
          <t>XYZ Retail</t>
        </is>
      </c>
      <c r="F77" s="4" t="inlineStr">
        <is>
          <t>North</t>
        </is>
      </c>
      <c r="G77" s="4" t="inlineStr">
        <is>
          <t>Online</t>
        </is>
      </c>
      <c r="H77" s="4" t="inlineStr">
        <is>
          <t>Isha</t>
        </is>
      </c>
      <c r="I77" s="6" t="n">
        <v>3</v>
      </c>
      <c r="J77" s="7" t="n">
        <v>8000</v>
      </c>
      <c r="K77" s="7" t="n">
        <v>24000</v>
      </c>
      <c r="L77" s="4" t="inlineStr">
        <is>
          <t>Priority</t>
        </is>
      </c>
    </row>
    <row r="78">
      <c r="A78" s="4" t="n">
        <v>1074</v>
      </c>
      <c r="B78" s="5" t="n">
        <v>46179</v>
      </c>
      <c r="C78" s="4" t="inlineStr">
        <is>
          <t>Headphones</t>
        </is>
      </c>
      <c r="D78" s="4" t="inlineStr">
        <is>
          <t>Electronics</t>
        </is>
      </c>
      <c r="E78" s="4" t="inlineStr">
        <is>
          <t>ABC Electronics</t>
        </is>
      </c>
      <c r="F78" s="4" t="inlineStr">
        <is>
          <t>West</t>
        </is>
      </c>
      <c r="G78" s="4" t="inlineStr">
        <is>
          <t>Online</t>
        </is>
      </c>
      <c r="H78" s="4" t="inlineStr">
        <is>
          <t>Diya</t>
        </is>
      </c>
      <c r="I78" s="6" t="n">
        <v>4</v>
      </c>
      <c r="J78" s="7" t="n">
        <v>3000</v>
      </c>
      <c r="K78" s="7" t="n">
        <v>12000</v>
      </c>
      <c r="L78" s="4" t="inlineStr"/>
    </row>
    <row r="79">
      <c r="A79" s="4" t="n">
        <v>1075</v>
      </c>
      <c r="B79" s="5" t="n">
        <v>46201</v>
      </c>
      <c r="C79" s="4" t="inlineStr">
        <is>
          <t>Bookshelf</t>
        </is>
      </c>
      <c r="D79" s="4" t="inlineStr">
        <is>
          <t>Furniture</t>
        </is>
      </c>
      <c r="E79" s="4" t="inlineStr">
        <is>
          <t>Prime Retail</t>
        </is>
      </c>
      <c r="F79" s="4" t="inlineStr">
        <is>
          <t>South</t>
        </is>
      </c>
      <c r="G79" s="4" t="inlineStr">
        <is>
          <t>Distributor</t>
        </is>
      </c>
      <c r="H79" s="4" t="inlineStr">
        <is>
          <t>Rohan</t>
        </is>
      </c>
      <c r="I79" s="6" t="n">
        <v>2</v>
      </c>
      <c r="J79" s="7" t="n">
        <v>7000</v>
      </c>
      <c r="K79" s="7" t="n">
        <v>14000</v>
      </c>
      <c r="L79" s="4" t="inlineStr">
        <is>
          <t>Promo</t>
        </is>
      </c>
    </row>
    <row r="80">
      <c r="A80" s="4" t="n">
        <v>1076</v>
      </c>
      <c r="B80" s="5" t="n">
        <v>46050</v>
      </c>
      <c r="C80" s="4" t="inlineStr">
        <is>
          <t>Bookshelf</t>
        </is>
      </c>
      <c r="D80" s="4" t="inlineStr">
        <is>
          <t>Furniture</t>
        </is>
      </c>
      <c r="E80" s="4" t="inlineStr">
        <is>
          <t>PRIME RETAIL</t>
        </is>
      </c>
      <c r="F80" s="4" t="inlineStr">
        <is>
          <t>South</t>
        </is>
      </c>
      <c r="G80" s="4" t="inlineStr">
        <is>
          <t>Online</t>
        </is>
      </c>
      <c r="H80" s="4" t="inlineStr">
        <is>
          <t>Diya</t>
        </is>
      </c>
      <c r="I80" s="6" t="n">
        <v>1</v>
      </c>
      <c r="J80" s="7" t="n">
        <v>7000</v>
      </c>
      <c r="K80" s="7" t="n">
        <v>7000</v>
      </c>
      <c r="L80" s="4" t="inlineStr">
        <is>
          <t>Promo</t>
        </is>
      </c>
    </row>
    <row r="81">
      <c r="A81" s="4" t="n">
        <v>1077</v>
      </c>
      <c r="B81" s="5" t="n">
        <v>46035</v>
      </c>
      <c r="C81" s="4" t="inlineStr">
        <is>
          <t>Monitor</t>
        </is>
      </c>
      <c r="D81" s="4" t="inlineStr">
        <is>
          <t>Electronics</t>
        </is>
      </c>
      <c r="E81" s="4" t="inlineStr">
        <is>
          <t>PQR Stores</t>
        </is>
      </c>
      <c r="F81" s="4" t="inlineStr">
        <is>
          <t>South</t>
        </is>
      </c>
      <c r="G81" s="4" t="inlineStr">
        <is>
          <t>Distributor</t>
        </is>
      </c>
      <c r="H81" s="4" t="inlineStr">
        <is>
          <t>Rohan</t>
        </is>
      </c>
      <c r="I81" s="6" t="n">
        <v>4</v>
      </c>
      <c r="J81" s="7" t="n">
        <v>15000</v>
      </c>
      <c r="K81" s="7" t="n">
        <v>60000</v>
      </c>
      <c r="L81" s="4" t="inlineStr"/>
    </row>
    <row r="82">
      <c r="A82" s="4" t="n">
        <v>1078</v>
      </c>
      <c r="B82" s="5" t="n">
        <v>46193</v>
      </c>
      <c r="C82" s="4" t="inlineStr">
        <is>
          <t>Monitor</t>
        </is>
      </c>
      <c r="D82" s="4" t="inlineStr">
        <is>
          <t>Electronics</t>
        </is>
      </c>
      <c r="E82" s="4" t="inlineStr">
        <is>
          <t>XYZ Retail</t>
        </is>
      </c>
      <c r="F82" s="4" t="inlineStr">
        <is>
          <t>North</t>
        </is>
      </c>
      <c r="G82" s="4" t="inlineStr">
        <is>
          <t>Store</t>
        </is>
      </c>
      <c r="H82" s="4" t="inlineStr">
        <is>
          <t>Diya</t>
        </is>
      </c>
      <c r="I82" s="6" t="n">
        <v>4</v>
      </c>
      <c r="J82" s="7" t="n">
        <v>15000</v>
      </c>
      <c r="K82" s="7" t="n">
        <v>60000</v>
      </c>
      <c r="L82" s="4" t="inlineStr"/>
    </row>
    <row r="83">
      <c r="A83" s="4" t="n">
        <v>1079</v>
      </c>
      <c r="B83" s="5" t="n">
        <v>46132</v>
      </c>
      <c r="C83" s="4" t="inlineStr">
        <is>
          <t>Office Chair</t>
        </is>
      </c>
      <c r="D83" s="4" t="inlineStr">
        <is>
          <t>Furniture</t>
        </is>
      </c>
      <c r="E83" s="4" t="inlineStr">
        <is>
          <t>Urban Store</t>
        </is>
      </c>
      <c r="F83" s="4" t="inlineStr">
        <is>
          <t>East</t>
        </is>
      </c>
      <c r="G83" s="4" t="inlineStr">
        <is>
          <t>Distributor</t>
        </is>
      </c>
      <c r="H83" s="4" t="inlineStr">
        <is>
          <t>Isha</t>
        </is>
      </c>
      <c r="I83" s="6" t="n">
        <v>5</v>
      </c>
      <c r="J83" s="7" t="n">
        <v>8000</v>
      </c>
      <c r="K83" s="7" t="n">
        <v>40000</v>
      </c>
      <c r="L83" s="4" t="inlineStr"/>
    </row>
    <row r="84">
      <c r="A84" s="4" t="n">
        <v>1080</v>
      </c>
      <c r="B84" s="5" t="n">
        <v>46089</v>
      </c>
      <c r="C84" s="4" t="inlineStr">
        <is>
          <t>Bookshelf</t>
        </is>
      </c>
      <c r="D84" s="4" t="inlineStr">
        <is>
          <t>Furniture</t>
        </is>
      </c>
      <c r="E84" s="4" t="inlineStr">
        <is>
          <t>PQR Stores</t>
        </is>
      </c>
      <c r="F84" s="4" t="inlineStr">
        <is>
          <t>South</t>
        </is>
      </c>
      <c r="G84" s="4" t="inlineStr">
        <is>
          <t>Distributor</t>
        </is>
      </c>
      <c r="H84" s="4" t="inlineStr">
        <is>
          <t>Meera</t>
        </is>
      </c>
      <c r="I84" s="6" t="n">
        <v>4</v>
      </c>
      <c r="J84" s="7" t="n">
        <v>7000</v>
      </c>
      <c r="K84" s="7" t="n">
        <v>28000</v>
      </c>
      <c r="L84" s="4" t="inlineStr">
        <is>
          <t>Priority</t>
        </is>
      </c>
    </row>
    <row r="85">
      <c r="A85" s="4" t="n">
        <v>1081</v>
      </c>
      <c r="B85" s="5" t="n">
        <v>46135</v>
      </c>
      <c r="C85" s="4" t="inlineStr">
        <is>
          <t>Keyboard</t>
        </is>
      </c>
      <c r="D85" s="4" t="inlineStr">
        <is>
          <t>Electronics</t>
        </is>
      </c>
      <c r="E85" s="4" t="inlineStr">
        <is>
          <t>Urban Store</t>
        </is>
      </c>
      <c r="F85" s="4" t="inlineStr">
        <is>
          <t>East</t>
        </is>
      </c>
      <c r="G85" s="4" t="inlineStr">
        <is>
          <t>Distributor</t>
        </is>
      </c>
      <c r="H85" s="4" t="inlineStr">
        <is>
          <t>Diya</t>
        </is>
      </c>
      <c r="I85" s="6" t="n">
        <v>3</v>
      </c>
      <c r="J85" s="7" t="n">
        <v>2500</v>
      </c>
      <c r="K85" s="7" t="n">
        <v>7500</v>
      </c>
      <c r="L85" s="4" t="inlineStr"/>
    </row>
    <row r="86">
      <c r="A86" s="4" t="n">
        <v>1082</v>
      </c>
      <c r="B86" s="5" t="n">
        <v>46161</v>
      </c>
      <c r="C86" s="4" t="inlineStr">
        <is>
          <t>Keyboard</t>
        </is>
      </c>
      <c r="D86" s="4" t="inlineStr">
        <is>
          <t>Electronics</t>
        </is>
      </c>
      <c r="E86" s="4" t="inlineStr">
        <is>
          <t>Tech World</t>
        </is>
      </c>
      <c r="F86" s="4" t="inlineStr">
        <is>
          <t>West</t>
        </is>
      </c>
      <c r="G86" s="4" t="inlineStr">
        <is>
          <t>Store</t>
        </is>
      </c>
      <c r="H86" s="4" t="inlineStr">
        <is>
          <t>Kabir</t>
        </is>
      </c>
      <c r="I86" s="6" t="n">
        <v>3</v>
      </c>
      <c r="J86" s="7" t="n">
        <v>2500</v>
      </c>
      <c r="K86" s="7" t="n">
        <v>7500</v>
      </c>
      <c r="L86" s="4" t="inlineStr"/>
    </row>
    <row r="87">
      <c r="A87" s="4" t="n">
        <v>1083</v>
      </c>
      <c r="B87" s="5" t="n">
        <v>46203</v>
      </c>
      <c r="C87" s="4" t="inlineStr">
        <is>
          <t>Headphones</t>
        </is>
      </c>
      <c r="D87" s="4" t="inlineStr">
        <is>
          <t>Electronics</t>
        </is>
      </c>
      <c r="E87" s="4" t="inlineStr">
        <is>
          <t>PQR Stores</t>
        </is>
      </c>
      <c r="F87" s="4" t="inlineStr">
        <is>
          <t>South</t>
        </is>
      </c>
      <c r="G87" s="4" t="inlineStr">
        <is>
          <t>Online</t>
        </is>
      </c>
      <c r="H87" s="4" t="inlineStr">
        <is>
          <t>Meera</t>
        </is>
      </c>
      <c r="I87" s="6" t="n">
        <v>2</v>
      </c>
      <c r="J87" s="7" t="n">
        <v>3000</v>
      </c>
      <c r="K87" s="7" t="n">
        <v>6000</v>
      </c>
      <c r="L87" s="4" t="inlineStr">
        <is>
          <t>Priority</t>
        </is>
      </c>
    </row>
    <row r="88">
      <c r="A88" s="4" t="n">
        <v>1084</v>
      </c>
      <c r="B88" s="5" t="n">
        <v>46142</v>
      </c>
      <c r="C88" s="4" t="inlineStr">
        <is>
          <t>Smartphone</t>
        </is>
      </c>
      <c r="D88" s="4" t="inlineStr">
        <is>
          <t>Electronics</t>
        </is>
      </c>
      <c r="E88" s="4" t="inlineStr">
        <is>
          <t>Prime Retail</t>
        </is>
      </c>
      <c r="F88" s="4" t="inlineStr">
        <is>
          <t>South</t>
        </is>
      </c>
      <c r="G88" s="4" t="inlineStr">
        <is>
          <t>Store</t>
        </is>
      </c>
      <c r="H88" s="4" t="inlineStr">
        <is>
          <t>Kabir</t>
        </is>
      </c>
      <c r="I88" s="6" t="n">
        <v>5</v>
      </c>
      <c r="J88" s="7" t="n">
        <v>30000</v>
      </c>
      <c r="K88" s="7" t="n">
        <v>150000</v>
      </c>
      <c r="L88" s="4" t="inlineStr">
        <is>
          <t>Promo</t>
        </is>
      </c>
    </row>
    <row r="89">
      <c r="A89" s="4" t="n">
        <v>1085</v>
      </c>
      <c r="B89" s="5" t="n">
        <v>46201</v>
      </c>
      <c r="C89" s="4" t="inlineStr">
        <is>
          <t xml:space="preserve"> Laptop </t>
        </is>
      </c>
      <c r="D89" s="4" t="inlineStr">
        <is>
          <t>Electronics</t>
        </is>
      </c>
      <c r="E89" s="4" t="inlineStr">
        <is>
          <t>Tech World</t>
        </is>
      </c>
      <c r="F89" s="4" t="inlineStr">
        <is>
          <t>West</t>
        </is>
      </c>
      <c r="G89" s="4" t="inlineStr">
        <is>
          <t>Store</t>
        </is>
      </c>
      <c r="H89" s="4" t="inlineStr">
        <is>
          <t>Meera</t>
        </is>
      </c>
      <c r="I89" s="6" t="n">
        <v>5</v>
      </c>
      <c r="J89" s="7" t="n">
        <v>50000</v>
      </c>
      <c r="K89" s="7" t="n">
        <v>250000</v>
      </c>
      <c r="L89" s="4" t="inlineStr"/>
    </row>
    <row r="90">
      <c r="A90" s="4" t="n">
        <v>1086</v>
      </c>
      <c r="B90" s="5" t="n">
        <v>46122</v>
      </c>
      <c r="C90" s="4" t="inlineStr">
        <is>
          <t>Desk</t>
        </is>
      </c>
      <c r="D90" s="4" t="inlineStr">
        <is>
          <t>Furniture</t>
        </is>
      </c>
      <c r="E90" s="4" t="inlineStr">
        <is>
          <t>Urban Store</t>
        </is>
      </c>
      <c r="F90" s="4" t="inlineStr">
        <is>
          <t>East</t>
        </is>
      </c>
      <c r="G90" s="4" t="inlineStr">
        <is>
          <t>Online</t>
        </is>
      </c>
      <c r="H90" s="4" t="inlineStr">
        <is>
          <t>Kabir</t>
        </is>
      </c>
      <c r="I90" s="6" t="n">
        <v>3</v>
      </c>
      <c r="J90" s="7" t="n">
        <v>12000</v>
      </c>
      <c r="K90" s="7" t="n">
        <v>36000</v>
      </c>
      <c r="L90" s="4" t="inlineStr">
        <is>
          <t>Promo</t>
        </is>
      </c>
    </row>
    <row r="91">
      <c r="A91" s="4" t="n">
        <v>1087</v>
      </c>
      <c r="B91" s="5" t="n">
        <v>46147</v>
      </c>
      <c r="C91" s="4" t="inlineStr">
        <is>
          <t>Monitor</t>
        </is>
      </c>
      <c r="D91" s="4" t="inlineStr">
        <is>
          <t>Electronics</t>
        </is>
      </c>
      <c r="E91" s="4" t="inlineStr">
        <is>
          <t>Urban Store</t>
        </is>
      </c>
      <c r="F91" s="4" t="inlineStr">
        <is>
          <t>east</t>
        </is>
      </c>
      <c r="G91" s="4" t="inlineStr">
        <is>
          <t>Online</t>
        </is>
      </c>
      <c r="H91" s="4" t="inlineStr">
        <is>
          <t>Kabir</t>
        </is>
      </c>
      <c r="I91" s="6" t="n">
        <v>4</v>
      </c>
      <c r="J91" s="7" t="n">
        <v>15000</v>
      </c>
      <c r="K91" s="7" t="n">
        <v>60000</v>
      </c>
      <c r="L91" s="4" t="inlineStr"/>
    </row>
    <row r="92">
      <c r="A92" s="4" t="n">
        <v>1088</v>
      </c>
      <c r="B92" s="5" t="n">
        <v>46065</v>
      </c>
      <c r="C92" s="4" t="inlineStr">
        <is>
          <t>Desk</t>
        </is>
      </c>
      <c r="D92" s="4" t="inlineStr">
        <is>
          <t>Furniture</t>
        </is>
      </c>
      <c r="E92" s="4" t="inlineStr">
        <is>
          <t>Metro Traders</t>
        </is>
      </c>
      <c r="F92" s="4" t="inlineStr">
        <is>
          <t>North</t>
        </is>
      </c>
      <c r="G92" s="4" t="inlineStr">
        <is>
          <t>Distributor</t>
        </is>
      </c>
      <c r="H92" s="4" t="inlineStr">
        <is>
          <t>Isha</t>
        </is>
      </c>
      <c r="I92" s="6" t="n">
        <v>4</v>
      </c>
      <c r="J92" s="7" t="n">
        <v>12000</v>
      </c>
      <c r="K92" s="7" t="n">
        <v>48000</v>
      </c>
      <c r="L92" s="4" t="inlineStr">
        <is>
          <t>Promo</t>
        </is>
      </c>
    </row>
    <row r="93">
      <c r="A93" s="4" t="n">
        <v>1089</v>
      </c>
      <c r="B93" s="5" t="n">
        <v>46192</v>
      </c>
      <c r="C93" s="4" t="inlineStr">
        <is>
          <t>Headphones</t>
        </is>
      </c>
      <c r="D93" s="4" t="inlineStr">
        <is>
          <t>Electronics</t>
        </is>
      </c>
      <c r="E93" s="4" t="inlineStr">
        <is>
          <t>ABC Electronics</t>
        </is>
      </c>
      <c r="F93" s="4" t="inlineStr">
        <is>
          <t>West</t>
        </is>
      </c>
      <c r="G93" s="4" t="inlineStr">
        <is>
          <t>Store</t>
        </is>
      </c>
      <c r="H93" s="4" t="inlineStr">
        <is>
          <t>Rohan</t>
        </is>
      </c>
      <c r="I93" s="6" t="n">
        <v>5</v>
      </c>
      <c r="J93" s="7" t="n">
        <v>3000</v>
      </c>
      <c r="K93" s="7" t="n">
        <v>15000</v>
      </c>
      <c r="L93" s="4" t="inlineStr"/>
    </row>
    <row r="94">
      <c r="A94" s="4" t="n">
        <v>1090</v>
      </c>
      <c r="B94" s="5" t="n">
        <v>46035</v>
      </c>
      <c r="C94" s="4" t="inlineStr">
        <is>
          <t>Smartphone</t>
        </is>
      </c>
      <c r="D94" s="4" t="inlineStr">
        <is>
          <t>Electronics</t>
        </is>
      </c>
      <c r="E94" s="4" t="inlineStr">
        <is>
          <t>Prime Retail</t>
        </is>
      </c>
      <c r="F94" s="4" t="inlineStr">
        <is>
          <t>South</t>
        </is>
      </c>
      <c r="G94" s="4" t="inlineStr">
        <is>
          <t>Online</t>
        </is>
      </c>
      <c r="H94" s="4" t="inlineStr">
        <is>
          <t>Meera</t>
        </is>
      </c>
      <c r="I94" s="6" t="n">
        <v>2</v>
      </c>
      <c r="J94" s="7" t="n">
        <v>30000</v>
      </c>
      <c r="K94" s="7" t="n">
        <v>60000</v>
      </c>
      <c r="L94" s="4" t="inlineStr">
        <is>
          <t>Repeat customer</t>
        </is>
      </c>
    </row>
    <row r="95">
      <c r="A95" s="4" t="n">
        <v>1091</v>
      </c>
      <c r="B95" s="5" t="n">
        <v>46109</v>
      </c>
      <c r="C95" s="4" t="inlineStr">
        <is>
          <t>Desk</t>
        </is>
      </c>
      <c r="D95" s="4" t="inlineStr">
        <is>
          <t>Furniture</t>
        </is>
      </c>
      <c r="E95" s="4" t="inlineStr">
        <is>
          <t>Metro Traders</t>
        </is>
      </c>
      <c r="F95" s="4" t="inlineStr">
        <is>
          <t>North</t>
        </is>
      </c>
      <c r="G95" s="4" t="inlineStr">
        <is>
          <t>Online</t>
        </is>
      </c>
      <c r="H95" s="4" t="inlineStr">
        <is>
          <t>Meera</t>
        </is>
      </c>
      <c r="I95" s="6" t="n">
        <v>3</v>
      </c>
      <c r="J95" s="7" t="n">
        <v>12000</v>
      </c>
      <c r="K95" s="7" t="n">
        <v>36000</v>
      </c>
      <c r="L95" s="4" t="inlineStr">
        <is>
          <t>Promo</t>
        </is>
      </c>
    </row>
    <row r="96">
      <c r="A96" s="4" t="n">
        <v>1092</v>
      </c>
      <c r="B96" s="5" t="n">
        <v>46027</v>
      </c>
      <c r="C96" s="4" t="inlineStr">
        <is>
          <t>Keyboard</t>
        </is>
      </c>
      <c r="D96" s="4" t="inlineStr">
        <is>
          <t>Electronics</t>
        </is>
      </c>
      <c r="E96" s="4" t="inlineStr">
        <is>
          <t>prime retail</t>
        </is>
      </c>
      <c r="F96" s="4" t="inlineStr">
        <is>
          <t>South</t>
        </is>
      </c>
      <c r="G96" s="4" t="inlineStr">
        <is>
          <t>Store</t>
        </is>
      </c>
      <c r="H96" s="4" t="inlineStr">
        <is>
          <t>Aarav</t>
        </is>
      </c>
      <c r="I96" s="6" t="n">
        <v>4</v>
      </c>
      <c r="J96" s="7" t="n">
        <v>2500</v>
      </c>
      <c r="K96" s="7" t="n">
        <v>10000</v>
      </c>
      <c r="L96" s="4" t="inlineStr"/>
    </row>
    <row r="97">
      <c r="A97" s="4" t="n">
        <v>1093</v>
      </c>
      <c r="B97" s="5" t="n">
        <v>46189</v>
      </c>
      <c r="C97" s="4" t="inlineStr">
        <is>
          <t>Laptop</t>
        </is>
      </c>
      <c r="D97" s="4" t="inlineStr">
        <is>
          <t>Electronics</t>
        </is>
      </c>
      <c r="E97" s="4" t="inlineStr">
        <is>
          <t>Metro Traders</t>
        </is>
      </c>
      <c r="F97" s="4" t="inlineStr">
        <is>
          <t>North</t>
        </is>
      </c>
      <c r="G97" s="4" t="inlineStr">
        <is>
          <t>Online</t>
        </is>
      </c>
      <c r="H97" s="4" t="inlineStr">
        <is>
          <t>Isha</t>
        </is>
      </c>
      <c r="I97" s="6" t="n">
        <v>1</v>
      </c>
      <c r="J97" s="7" t="n">
        <v>50000</v>
      </c>
      <c r="K97" s="7" t="n">
        <v>50000</v>
      </c>
      <c r="L97" s="4" t="inlineStr"/>
    </row>
    <row r="98">
      <c r="A98" s="4" t="n">
        <v>1094</v>
      </c>
      <c r="B98" s="5" t="n">
        <v>46062</v>
      </c>
      <c r="C98" s="4" t="inlineStr">
        <is>
          <t>Laptop</t>
        </is>
      </c>
      <c r="D98" s="4" t="inlineStr">
        <is>
          <t>Electronics</t>
        </is>
      </c>
      <c r="E98" s="4" t="inlineStr">
        <is>
          <t>Tech World</t>
        </is>
      </c>
      <c r="F98" s="4" t="inlineStr">
        <is>
          <t>West</t>
        </is>
      </c>
      <c r="G98" s="4" t="inlineStr">
        <is>
          <t>Online</t>
        </is>
      </c>
      <c r="H98" s="4" t="inlineStr">
        <is>
          <t>Aarav</t>
        </is>
      </c>
      <c r="I98" s="6" t="n">
        <v>5</v>
      </c>
      <c r="J98" s="7" t="n">
        <v>50000</v>
      </c>
      <c r="K98" s="7" t="n">
        <v>250000</v>
      </c>
      <c r="L98" s="4" t="inlineStr">
        <is>
          <t>Priority</t>
        </is>
      </c>
    </row>
    <row r="99">
      <c r="A99" s="4" t="n">
        <v>1095</v>
      </c>
      <c r="B99" s="5" t="n">
        <v>46078</v>
      </c>
      <c r="C99" s="4" t="inlineStr">
        <is>
          <t>Headphones</t>
        </is>
      </c>
      <c r="D99" s="4" t="inlineStr">
        <is>
          <t>Electronics</t>
        </is>
      </c>
      <c r="E99" s="4" t="inlineStr">
        <is>
          <t>URBAN STORE</t>
        </is>
      </c>
      <c r="F99" s="4" t="inlineStr">
        <is>
          <t>East</t>
        </is>
      </c>
      <c r="G99" s="4" t="inlineStr">
        <is>
          <t>Distributor</t>
        </is>
      </c>
      <c r="H99" s="4" t="inlineStr">
        <is>
          <t>Aarav</t>
        </is>
      </c>
      <c r="I99" s="6" t="n">
        <v>5</v>
      </c>
      <c r="J99" s="7" t="n">
        <v>3000</v>
      </c>
      <c r="K99" s="7" t="n">
        <v>15000</v>
      </c>
      <c r="L99" s="4" t="inlineStr">
        <is>
          <t>Promo</t>
        </is>
      </c>
    </row>
    <row r="100">
      <c r="A100" s="4" t="n">
        <v>1096</v>
      </c>
      <c r="B100" s="5" t="n">
        <v>46052</v>
      </c>
      <c r="C100" s="4" t="inlineStr">
        <is>
          <t>Keyboard</t>
        </is>
      </c>
      <c r="D100" s="4" t="inlineStr">
        <is>
          <t>Electronics</t>
        </is>
      </c>
      <c r="E100" s="4" t="inlineStr">
        <is>
          <t>Metro Traders</t>
        </is>
      </c>
      <c r="F100" s="4" t="inlineStr">
        <is>
          <t>North</t>
        </is>
      </c>
      <c r="G100" s="4" t="inlineStr">
        <is>
          <t>Online</t>
        </is>
      </c>
      <c r="H100" s="4" t="inlineStr">
        <is>
          <t>Rohan</t>
        </is>
      </c>
      <c r="I100" s="6" t="n">
        <v>5</v>
      </c>
      <c r="J100" s="7" t="n">
        <v>2500</v>
      </c>
      <c r="K100" s="7" t="n">
        <v>12500</v>
      </c>
      <c r="L100" s="4" t="inlineStr">
        <is>
          <t>Priority</t>
        </is>
      </c>
    </row>
    <row r="101">
      <c r="A101" s="4" t="n">
        <v>1097</v>
      </c>
      <c r="B101" s="5" t="n">
        <v>46170</v>
      </c>
      <c r="C101" s="4" t="inlineStr">
        <is>
          <t>Keyboard</t>
        </is>
      </c>
      <c r="D101" s="4" t="inlineStr">
        <is>
          <t>Electronics</t>
        </is>
      </c>
      <c r="E101" s="4" t="inlineStr">
        <is>
          <t>XYZ Retail</t>
        </is>
      </c>
      <c r="F101" s="4" t="inlineStr">
        <is>
          <t>North</t>
        </is>
      </c>
      <c r="G101" s="4" t="inlineStr">
        <is>
          <t>Distributor</t>
        </is>
      </c>
      <c r="H101" s="4" t="inlineStr">
        <is>
          <t>Aarav</t>
        </is>
      </c>
      <c r="I101" s="6" t="n">
        <v>3</v>
      </c>
      <c r="J101" s="7" t="n">
        <v>2500</v>
      </c>
      <c r="K101" s="7" t="n">
        <v>7500</v>
      </c>
      <c r="L101" s="4" t="inlineStr">
        <is>
          <t>Promo</t>
        </is>
      </c>
    </row>
    <row r="102">
      <c r="A102" s="4" t="n">
        <v>1098</v>
      </c>
      <c r="B102" s="5" t="n">
        <v>46049</v>
      </c>
      <c r="C102" s="4" t="inlineStr">
        <is>
          <t>Desk</t>
        </is>
      </c>
      <c r="D102" s="4" t="inlineStr">
        <is>
          <t>Furniture</t>
        </is>
      </c>
      <c r="E102" s="4" t="inlineStr">
        <is>
          <t>Tech World</t>
        </is>
      </c>
      <c r="F102" s="4" t="inlineStr">
        <is>
          <t>West</t>
        </is>
      </c>
      <c r="G102" s="4" t="inlineStr">
        <is>
          <t>Online</t>
        </is>
      </c>
      <c r="H102" s="4" t="inlineStr">
        <is>
          <t>Rohan</t>
        </is>
      </c>
      <c r="I102" s="6" t="n">
        <v>2</v>
      </c>
      <c r="J102" s="7" t="n">
        <v>12000</v>
      </c>
      <c r="K102" s="7" t="n">
        <v>24000</v>
      </c>
      <c r="L102" s="4" t="inlineStr">
        <is>
          <t>Repeat customer</t>
        </is>
      </c>
    </row>
    <row r="103">
      <c r="A103" s="4" t="n">
        <v>1099</v>
      </c>
      <c r="B103" s="5" t="n">
        <v>46192</v>
      </c>
      <c r="C103" s="4" t="inlineStr">
        <is>
          <t>Smartphone</t>
        </is>
      </c>
      <c r="D103" s="4" t="inlineStr">
        <is>
          <t>Electronics</t>
        </is>
      </c>
      <c r="E103" s="4" t="inlineStr">
        <is>
          <t>ABC Electronics</t>
        </is>
      </c>
      <c r="F103" s="4" t="inlineStr">
        <is>
          <t>West</t>
        </is>
      </c>
      <c r="G103" s="4" t="inlineStr">
        <is>
          <t>Store</t>
        </is>
      </c>
      <c r="H103" s="4" t="inlineStr">
        <is>
          <t>Rohan</t>
        </is>
      </c>
      <c r="I103" s="6" t="n">
        <v>4</v>
      </c>
      <c r="J103" s="7" t="n">
        <v>30000</v>
      </c>
      <c r="K103" s="7" t="n">
        <v>120000</v>
      </c>
      <c r="L103" s="4" t="inlineStr">
        <is>
          <t>Repeat customer</t>
        </is>
      </c>
    </row>
    <row r="104">
      <c r="A104" s="4" t="n">
        <v>1100</v>
      </c>
      <c r="B104" s="5" t="n">
        <v>46050</v>
      </c>
      <c r="C104" s="4" t="inlineStr">
        <is>
          <t>Smartphone</t>
        </is>
      </c>
      <c r="D104" s="4" t="inlineStr">
        <is>
          <t>Electronics</t>
        </is>
      </c>
      <c r="E104" s="4" t="inlineStr">
        <is>
          <t>Metro Traders</t>
        </is>
      </c>
      <c r="F104" s="4" t="inlineStr">
        <is>
          <t>North</t>
        </is>
      </c>
      <c r="G104" s="4" t="inlineStr">
        <is>
          <t>Online</t>
        </is>
      </c>
      <c r="H104" s="4" t="inlineStr">
        <is>
          <t>Meera</t>
        </is>
      </c>
      <c r="I104" s="6" t="n">
        <v>4</v>
      </c>
      <c r="J104" s="7" t="n">
        <v>30000</v>
      </c>
      <c r="K104" s="7" t="n">
        <v>120000</v>
      </c>
      <c r="L104" s="4" t="inlineStr">
        <is>
          <t>Promo</t>
        </is>
      </c>
    </row>
    <row r="105">
      <c r="A105" s="4" t="n">
        <v>1101</v>
      </c>
      <c r="B105" s="5" t="n">
        <v>46068</v>
      </c>
      <c r="C105" s="4" t="inlineStr">
        <is>
          <t>Office Chair</t>
        </is>
      </c>
      <c r="D105" s="4" t="inlineStr">
        <is>
          <t>Furniture</t>
        </is>
      </c>
      <c r="E105" s="4" t="inlineStr">
        <is>
          <t>Urban Store</t>
        </is>
      </c>
      <c r="F105" s="4" t="inlineStr">
        <is>
          <t>East</t>
        </is>
      </c>
      <c r="G105" s="4" t="inlineStr">
        <is>
          <t>Distributor</t>
        </is>
      </c>
      <c r="H105" s="4" t="inlineStr">
        <is>
          <t>Diya</t>
        </is>
      </c>
      <c r="I105" s="6" t="n">
        <v>4</v>
      </c>
      <c r="J105" s="7" t="n">
        <v>8000</v>
      </c>
      <c r="K105" s="7" t="n">
        <v>32000</v>
      </c>
      <c r="L105" s="4" t="inlineStr"/>
    </row>
    <row r="106">
      <c r="A106" s="4" t="n">
        <v>1102</v>
      </c>
      <c r="B106" s="5" t="n">
        <v>46091</v>
      </c>
      <c r="C106" s="4" t="inlineStr">
        <is>
          <t xml:space="preserve"> Keyboard </t>
        </is>
      </c>
      <c r="D106" s="4" t="inlineStr">
        <is>
          <t>Electronics</t>
        </is>
      </c>
      <c r="E106" s="4" t="inlineStr">
        <is>
          <t>Urban Store</t>
        </is>
      </c>
      <c r="F106" s="4" t="inlineStr">
        <is>
          <t>East</t>
        </is>
      </c>
      <c r="G106" s="4" t="inlineStr">
        <is>
          <t>Store</t>
        </is>
      </c>
      <c r="H106" s="4" t="inlineStr">
        <is>
          <t>Meera</t>
        </is>
      </c>
      <c r="I106" s="6" t="n">
        <v>5</v>
      </c>
      <c r="J106" s="7" t="n">
        <v>2500</v>
      </c>
      <c r="K106" s="7" t="n">
        <v>12500</v>
      </c>
      <c r="L106" s="4" t="inlineStr">
        <is>
          <t>Repeat customer</t>
        </is>
      </c>
    </row>
    <row r="107">
      <c r="A107" s="4" t="n">
        <v>1103</v>
      </c>
      <c r="B107" s="5" t="n">
        <v>46141</v>
      </c>
      <c r="C107" s="4" t="inlineStr">
        <is>
          <t>Monitor</t>
        </is>
      </c>
      <c r="D107" s="4" t="inlineStr">
        <is>
          <t>Electronics</t>
        </is>
      </c>
      <c r="E107" s="4" t="inlineStr">
        <is>
          <t>XYZ Retail</t>
        </is>
      </c>
      <c r="F107" s="4" t="inlineStr">
        <is>
          <t>North</t>
        </is>
      </c>
      <c r="G107" s="4" t="inlineStr">
        <is>
          <t>Store</t>
        </is>
      </c>
      <c r="H107" s="4" t="inlineStr">
        <is>
          <t>Meera</t>
        </is>
      </c>
      <c r="I107" s="6" t="n">
        <v>2</v>
      </c>
      <c r="J107" s="7" t="n">
        <v>15000</v>
      </c>
      <c r="K107" s="7" t="n">
        <v>30000</v>
      </c>
      <c r="L107" s="4" t="inlineStr"/>
    </row>
    <row r="108">
      <c r="A108" s="4" t="n">
        <v>1104</v>
      </c>
      <c r="B108" s="5" t="n">
        <v>46069</v>
      </c>
      <c r="C108" s="4" t="inlineStr">
        <is>
          <t>Desk</t>
        </is>
      </c>
      <c r="D108" s="4" t="inlineStr">
        <is>
          <t>Furniture</t>
        </is>
      </c>
      <c r="E108" s="4" t="inlineStr">
        <is>
          <t>Metro Traders</t>
        </is>
      </c>
      <c r="F108" s="4" t="inlineStr">
        <is>
          <t>North</t>
        </is>
      </c>
      <c r="G108" s="4" t="inlineStr">
        <is>
          <t>Online</t>
        </is>
      </c>
      <c r="H108" s="4" t="inlineStr">
        <is>
          <t>Meera</t>
        </is>
      </c>
      <c r="I108" s="6" t="n">
        <v>3</v>
      </c>
      <c r="J108" s="7" t="n">
        <v>12000</v>
      </c>
      <c r="K108" s="7" t="n">
        <v>36000</v>
      </c>
      <c r="L108" s="4" t="inlineStr">
        <is>
          <t>Promo</t>
        </is>
      </c>
    </row>
    <row r="109">
      <c r="A109" s="4" t="n">
        <v>1105</v>
      </c>
      <c r="B109" s="5" t="n">
        <v>46175</v>
      </c>
      <c r="C109" s="4" t="inlineStr">
        <is>
          <t>Monitor</t>
        </is>
      </c>
      <c r="D109" s="4" t="inlineStr">
        <is>
          <t>Electronics</t>
        </is>
      </c>
      <c r="E109" s="4" t="inlineStr">
        <is>
          <t>Metro Traders</t>
        </is>
      </c>
      <c r="F109" s="4" t="inlineStr">
        <is>
          <t>North</t>
        </is>
      </c>
      <c r="G109" s="4" t="inlineStr">
        <is>
          <t>Store</t>
        </is>
      </c>
      <c r="H109" s="4" t="inlineStr">
        <is>
          <t>Kabir</t>
        </is>
      </c>
      <c r="I109" s="6" t="n">
        <v>3</v>
      </c>
      <c r="J109" s="7" t="n">
        <v>15000</v>
      </c>
      <c r="K109" s="7" t="n">
        <v>45000</v>
      </c>
      <c r="L109" s="4" t="inlineStr">
        <is>
          <t>Repeat customer</t>
        </is>
      </c>
    </row>
    <row r="110">
      <c r="A110" s="4" t="n">
        <v>1106</v>
      </c>
      <c r="B110" s="5" t="n">
        <v>46148</v>
      </c>
      <c r="C110" s="4" t="inlineStr">
        <is>
          <t>Laptop</t>
        </is>
      </c>
      <c r="D110" s="4" t="inlineStr">
        <is>
          <t>Electronics</t>
        </is>
      </c>
      <c r="E110" s="4" t="inlineStr">
        <is>
          <t>Tech World</t>
        </is>
      </c>
      <c r="F110" s="4" t="inlineStr">
        <is>
          <t>West</t>
        </is>
      </c>
      <c r="G110" s="4" t="inlineStr">
        <is>
          <t>Online</t>
        </is>
      </c>
      <c r="H110" s="4" t="inlineStr">
        <is>
          <t>Diya</t>
        </is>
      </c>
      <c r="I110" s="6" t="n">
        <v>4</v>
      </c>
      <c r="J110" s="7" t="n">
        <v>50000</v>
      </c>
      <c r="K110" s="7" t="n">
        <v>200000</v>
      </c>
      <c r="L110" s="4" t="inlineStr"/>
    </row>
    <row r="111">
      <c r="A111" s="4" t="n">
        <v>1107</v>
      </c>
      <c r="B111" s="5" t="n">
        <v>46137</v>
      </c>
      <c r="C111" s="4" t="inlineStr">
        <is>
          <t>Monitor</t>
        </is>
      </c>
      <c r="D111" s="4" t="inlineStr">
        <is>
          <t>Electronics</t>
        </is>
      </c>
      <c r="E111" s="4" t="inlineStr">
        <is>
          <t>Urban Store</t>
        </is>
      </c>
      <c r="F111" s="4" t="inlineStr">
        <is>
          <t>East</t>
        </is>
      </c>
      <c r="G111" s="4" t="inlineStr">
        <is>
          <t>Distributor</t>
        </is>
      </c>
      <c r="H111" s="4" t="inlineStr">
        <is>
          <t>Isha</t>
        </is>
      </c>
      <c r="I111" s="6" t="n">
        <v>4</v>
      </c>
      <c r="J111" s="7" t="n">
        <v>15000</v>
      </c>
      <c r="K111" s="7" t="n">
        <v>60000</v>
      </c>
      <c r="L111" s="4" t="inlineStr"/>
    </row>
    <row r="112">
      <c r="A112" s="4" t="n">
        <v>1108</v>
      </c>
      <c r="B112" s="5" t="n">
        <v>46101</v>
      </c>
      <c r="C112" s="4" t="inlineStr">
        <is>
          <t>Smartphone</t>
        </is>
      </c>
      <c r="D112" s="4" t="inlineStr">
        <is>
          <t>Electronics</t>
        </is>
      </c>
      <c r="E112" s="4" t="inlineStr">
        <is>
          <t>Smart Mart</t>
        </is>
      </c>
      <c r="F112" s="4" t="inlineStr">
        <is>
          <t>East</t>
        </is>
      </c>
      <c r="G112" s="4" t="inlineStr">
        <is>
          <t>Online</t>
        </is>
      </c>
      <c r="H112" s="4" t="inlineStr">
        <is>
          <t>Meera</t>
        </is>
      </c>
      <c r="I112" s="6" t="n">
        <v>2</v>
      </c>
      <c r="J112" s="7" t="n">
        <v>30000</v>
      </c>
      <c r="K112" s="7" t="n">
        <v>60000</v>
      </c>
      <c r="L112" s="4" t="inlineStr"/>
    </row>
    <row r="113">
      <c r="A113" s="4" t="n">
        <v>1109</v>
      </c>
      <c r="B113" s="5" t="n">
        <v>46131</v>
      </c>
      <c r="C113" s="4" t="inlineStr">
        <is>
          <t>Office Chair</t>
        </is>
      </c>
      <c r="D113" s="4" t="inlineStr">
        <is>
          <t>Furniture</t>
        </is>
      </c>
      <c r="E113" s="4" t="inlineStr">
        <is>
          <t>Urban Store</t>
        </is>
      </c>
      <c r="F113" s="4" t="inlineStr">
        <is>
          <t>East</t>
        </is>
      </c>
      <c r="G113" s="4" t="inlineStr">
        <is>
          <t>Distributor</t>
        </is>
      </c>
      <c r="H113" s="4" t="inlineStr">
        <is>
          <t>Rohan</t>
        </is>
      </c>
      <c r="I113" s="6" t="n">
        <v>3</v>
      </c>
      <c r="J113" s="7" t="n">
        <v>8000</v>
      </c>
      <c r="K113" s="7" t="n">
        <v>24000</v>
      </c>
      <c r="L113" s="4" t="inlineStr"/>
    </row>
    <row r="114">
      <c r="A114" s="4" t="n">
        <v>1110</v>
      </c>
      <c r="B114" s="5" t="n">
        <v>46101</v>
      </c>
      <c r="C114" s="4" t="inlineStr">
        <is>
          <t>Office Chair</t>
        </is>
      </c>
      <c r="D114" s="4" t="inlineStr">
        <is>
          <t>Furniture</t>
        </is>
      </c>
      <c r="E114" s="4" t="inlineStr">
        <is>
          <t>Metro Traders</t>
        </is>
      </c>
      <c r="F114" s="4" t="inlineStr">
        <is>
          <t>North</t>
        </is>
      </c>
      <c r="G114" s="4" t="inlineStr">
        <is>
          <t>Distributor</t>
        </is>
      </c>
      <c r="H114" s="4" t="inlineStr">
        <is>
          <t>Meera</t>
        </is>
      </c>
      <c r="I114" s="6" t="n">
        <v>3</v>
      </c>
      <c r="J114" s="7" t="n">
        <v>8000</v>
      </c>
      <c r="K114" s="7" t="n">
        <v>24000</v>
      </c>
      <c r="L114" s="4" t="inlineStr">
        <is>
          <t>Repeat customer</t>
        </is>
      </c>
    </row>
    <row r="115">
      <c r="A115" s="4" t="n">
        <v>1111</v>
      </c>
      <c r="B115" s="5" t="n">
        <v>46053</v>
      </c>
      <c r="C115" s="4" t="inlineStr">
        <is>
          <t>Monitor</t>
        </is>
      </c>
      <c r="D115" s="4" t="inlineStr">
        <is>
          <t>Electronics</t>
        </is>
      </c>
      <c r="E115" s="4" t="inlineStr">
        <is>
          <t>XYZ Retail</t>
        </is>
      </c>
      <c r="F115" s="4" t="inlineStr">
        <is>
          <t>North</t>
        </is>
      </c>
      <c r="G115" s="4" t="inlineStr">
        <is>
          <t>Distributor</t>
        </is>
      </c>
      <c r="H115" s="4" t="inlineStr">
        <is>
          <t>Diya</t>
        </is>
      </c>
      <c r="I115" s="6" t="n">
        <v>3</v>
      </c>
      <c r="J115" s="7" t="n">
        <v>15000</v>
      </c>
      <c r="K115" s="7" t="n">
        <v>45000</v>
      </c>
      <c r="L115" s="4" t="inlineStr"/>
    </row>
    <row r="116">
      <c r="A116" s="4" t="n">
        <v>1112</v>
      </c>
      <c r="B116" s="5" t="n">
        <v>46093</v>
      </c>
      <c r="C116" s="4" t="inlineStr">
        <is>
          <t>Headphones</t>
        </is>
      </c>
      <c r="D116" s="4" t="inlineStr">
        <is>
          <t>Electronics</t>
        </is>
      </c>
      <c r="E116" s="4" t="inlineStr">
        <is>
          <t>Tech World</t>
        </is>
      </c>
      <c r="F116" s="4" t="inlineStr">
        <is>
          <t>West</t>
        </is>
      </c>
      <c r="G116" s="4" t="inlineStr">
        <is>
          <t>Online</t>
        </is>
      </c>
      <c r="H116" s="4" t="inlineStr">
        <is>
          <t>Isha</t>
        </is>
      </c>
      <c r="I116" s="6" t="n">
        <v>4</v>
      </c>
      <c r="J116" s="7" t="n">
        <v>3000</v>
      </c>
      <c r="K116" s="7" t="n">
        <v>12000</v>
      </c>
      <c r="L116" s="4" t="inlineStr"/>
    </row>
    <row r="117">
      <c r="A117" s="4" t="n">
        <v>1113</v>
      </c>
      <c r="B117" s="5" t="n">
        <v>46115</v>
      </c>
      <c r="C117" s="4" t="inlineStr">
        <is>
          <t>Keyboard</t>
        </is>
      </c>
      <c r="D117" s="4" t="inlineStr">
        <is>
          <t>Electronics</t>
        </is>
      </c>
      <c r="E117" s="4" t="inlineStr">
        <is>
          <t>XYZ Retail</t>
        </is>
      </c>
      <c r="F117" s="4" t="inlineStr">
        <is>
          <t>North</t>
        </is>
      </c>
      <c r="G117" s="4" t="inlineStr">
        <is>
          <t>Online</t>
        </is>
      </c>
      <c r="H117" s="4" t="inlineStr">
        <is>
          <t>Kabir</t>
        </is>
      </c>
      <c r="I117" s="6" t="n">
        <v>2</v>
      </c>
      <c r="J117" s="7" t="n">
        <v>2500</v>
      </c>
      <c r="K117" s="7" t="n">
        <v>5000</v>
      </c>
      <c r="L117" s="4" t="inlineStr">
        <is>
          <t>Priority</t>
        </is>
      </c>
    </row>
    <row r="118">
      <c r="A118" s="4" t="n">
        <v>1114</v>
      </c>
      <c r="B118" s="5" t="n">
        <v>46093</v>
      </c>
      <c r="C118" s="4" t="inlineStr">
        <is>
          <t>Keyboard</t>
        </is>
      </c>
      <c r="D118" s="4" t="inlineStr">
        <is>
          <t>Electronics</t>
        </is>
      </c>
      <c r="E118" s="4" t="inlineStr">
        <is>
          <t>ABC ELECTRONICS</t>
        </is>
      </c>
      <c r="F118" s="4" t="inlineStr">
        <is>
          <t>West</t>
        </is>
      </c>
      <c r="G118" s="4" t="inlineStr">
        <is>
          <t>Distributor</t>
        </is>
      </c>
      <c r="H118" s="4" t="inlineStr">
        <is>
          <t>Rohan</t>
        </is>
      </c>
      <c r="I118" s="6" t="n">
        <v>2</v>
      </c>
      <c r="J118" s="7" t="n">
        <v>2500</v>
      </c>
      <c r="K118" s="7" t="n">
        <v>5000</v>
      </c>
      <c r="L118" s="4" t="inlineStr"/>
    </row>
    <row r="119">
      <c r="A119" s="4" t="n">
        <v>1115</v>
      </c>
      <c r="B119" s="5" t="n">
        <v>46049</v>
      </c>
      <c r="C119" s="4" t="inlineStr">
        <is>
          <t>Laptop</t>
        </is>
      </c>
      <c r="D119" s="4" t="inlineStr">
        <is>
          <t>Electronics</t>
        </is>
      </c>
      <c r="E119" s="4" t="inlineStr">
        <is>
          <t>smart mart</t>
        </is>
      </c>
      <c r="F119" s="4" t="inlineStr">
        <is>
          <t>East</t>
        </is>
      </c>
      <c r="G119" s="4" t="inlineStr">
        <is>
          <t>Distributor</t>
        </is>
      </c>
      <c r="H119" s="4" t="inlineStr">
        <is>
          <t>Diya</t>
        </is>
      </c>
      <c r="I119" s="6" t="n">
        <v>4</v>
      </c>
      <c r="J119" s="7" t="n">
        <v>50000</v>
      </c>
      <c r="K119" s="7" t="n">
        <v>200000</v>
      </c>
      <c r="L119" s="4" t="inlineStr"/>
    </row>
    <row r="120">
      <c r="A120" s="4" t="n">
        <v>1116</v>
      </c>
      <c r="B120" s="5" t="n">
        <v>46070</v>
      </c>
      <c r="C120" s="4" t="inlineStr">
        <is>
          <t>Keyboard</t>
        </is>
      </c>
      <c r="D120" s="4" t="inlineStr">
        <is>
          <t>Electronics</t>
        </is>
      </c>
      <c r="E120" s="4" t="inlineStr">
        <is>
          <t>Urban Store</t>
        </is>
      </c>
      <c r="F120" s="4" t="inlineStr">
        <is>
          <t>east</t>
        </is>
      </c>
      <c r="G120" s="4" t="inlineStr">
        <is>
          <t>Store</t>
        </is>
      </c>
      <c r="H120" s="4" t="inlineStr">
        <is>
          <t>Meera</t>
        </is>
      </c>
      <c r="I120" s="6" t="n">
        <v>3</v>
      </c>
      <c r="J120" s="7" t="n">
        <v>2500</v>
      </c>
      <c r="K120" s="7" t="n">
        <v>7500</v>
      </c>
      <c r="L120" s="4" t="inlineStr"/>
    </row>
    <row r="121">
      <c r="A121" s="4" t="n">
        <v>1117</v>
      </c>
      <c r="B121" s="5" t="n">
        <v>46148</v>
      </c>
      <c r="C121" s="4" t="inlineStr">
        <is>
          <t>Keyboard</t>
        </is>
      </c>
      <c r="D121" s="4" t="inlineStr">
        <is>
          <t>Electronics</t>
        </is>
      </c>
      <c r="E121" s="4" t="inlineStr">
        <is>
          <t>Urban Store</t>
        </is>
      </c>
      <c r="F121" s="4" t="inlineStr">
        <is>
          <t>East</t>
        </is>
      </c>
      <c r="G121" s="4" t="inlineStr">
        <is>
          <t>Online</t>
        </is>
      </c>
      <c r="H121" s="4" t="inlineStr">
        <is>
          <t>Aarav</t>
        </is>
      </c>
      <c r="I121" s="6" t="n">
        <v>4</v>
      </c>
      <c r="J121" s="7" t="n">
        <v>2500</v>
      </c>
      <c r="K121" s="7" t="n">
        <v>10000</v>
      </c>
      <c r="L121" s="4" t="inlineStr"/>
    </row>
    <row r="122">
      <c r="A122" s="4" t="n">
        <v>1118</v>
      </c>
      <c r="B122" s="5" t="n">
        <v>46044</v>
      </c>
      <c r="C122" s="4" t="inlineStr">
        <is>
          <t>Laptop</t>
        </is>
      </c>
      <c r="D122" s="4" t="inlineStr">
        <is>
          <t>Electronics</t>
        </is>
      </c>
      <c r="E122" s="4" t="inlineStr">
        <is>
          <t>PQR Stores</t>
        </is>
      </c>
      <c r="F122" s="4" t="inlineStr">
        <is>
          <t>South</t>
        </is>
      </c>
      <c r="G122" s="4" t="inlineStr">
        <is>
          <t>Online</t>
        </is>
      </c>
      <c r="H122" s="4" t="inlineStr">
        <is>
          <t>Rohan</t>
        </is>
      </c>
      <c r="I122" s="6" t="n">
        <v>3</v>
      </c>
      <c r="J122" s="7" t="n">
        <v>50000</v>
      </c>
      <c r="K122" s="7" t="n">
        <v>150000</v>
      </c>
      <c r="L122" s="4" t="inlineStr">
        <is>
          <t>Priority</t>
        </is>
      </c>
    </row>
    <row r="123">
      <c r="A123" s="4" t="n">
        <v>1119</v>
      </c>
      <c r="B123" s="5" t="n">
        <v>46080</v>
      </c>
      <c r="C123" s="4" t="inlineStr">
        <is>
          <t xml:space="preserve"> Smartphone </t>
        </is>
      </c>
      <c r="D123" s="4" t="inlineStr">
        <is>
          <t>Electronics</t>
        </is>
      </c>
      <c r="E123" s="4" t="inlineStr">
        <is>
          <t>Prime Retail</t>
        </is>
      </c>
      <c r="F123" s="4" t="inlineStr">
        <is>
          <t>South</t>
        </is>
      </c>
      <c r="G123" s="4" t="inlineStr">
        <is>
          <t>Distributor</t>
        </is>
      </c>
      <c r="H123" s="4" t="inlineStr">
        <is>
          <t>Rohan</t>
        </is>
      </c>
      <c r="I123" s="6" t="n">
        <v>5</v>
      </c>
      <c r="J123" s="7" t="n">
        <v>30000</v>
      </c>
      <c r="K123" s="7" t="n">
        <v>150000</v>
      </c>
      <c r="L123" s="4" t="inlineStr"/>
    </row>
    <row r="124">
      <c r="A124" s="4" t="n">
        <v>1120</v>
      </c>
      <c r="B124" s="5" t="n">
        <v>46132</v>
      </c>
      <c r="C124" s="4" t="inlineStr">
        <is>
          <t>Desk</t>
        </is>
      </c>
      <c r="D124" s="4" t="inlineStr">
        <is>
          <t>Furniture</t>
        </is>
      </c>
      <c r="E124" s="4" t="inlineStr">
        <is>
          <t>Urban Store</t>
        </is>
      </c>
      <c r="F124" s="4" t="inlineStr">
        <is>
          <t>East</t>
        </is>
      </c>
      <c r="G124" s="4" t="inlineStr">
        <is>
          <t>Store</t>
        </is>
      </c>
      <c r="H124" s="4" t="inlineStr">
        <is>
          <t>Kabir</t>
        </is>
      </c>
      <c r="I124" s="6" t="n">
        <v>5</v>
      </c>
      <c r="J124" s="7" t="n">
        <v>12000</v>
      </c>
      <c r="K124" s="7" t="n">
        <v>60000</v>
      </c>
      <c r="L124" s="4" t="inlineStr">
        <is>
          <t>Repeat customer</t>
        </is>
      </c>
    </row>
    <row r="125">
      <c r="A125" s="4" t="n">
        <v>1121</v>
      </c>
      <c r="B125" s="5" t="n">
        <v>46090</v>
      </c>
      <c r="C125" s="4" t="inlineStr">
        <is>
          <t>Laptop</t>
        </is>
      </c>
      <c r="D125" s="4" t="inlineStr">
        <is>
          <t>Electronics</t>
        </is>
      </c>
      <c r="E125" s="4" t="inlineStr">
        <is>
          <t>XYZ Retail</t>
        </is>
      </c>
      <c r="F125" s="4" t="inlineStr">
        <is>
          <t>North</t>
        </is>
      </c>
      <c r="G125" s="4" t="inlineStr">
        <is>
          <t>Online</t>
        </is>
      </c>
      <c r="H125" s="4" t="inlineStr">
        <is>
          <t>Isha</t>
        </is>
      </c>
      <c r="I125" s="6" t="n">
        <v>2</v>
      </c>
      <c r="J125" s="7" t="n">
        <v>50000</v>
      </c>
      <c r="K125" s="7" t="n">
        <v>100000</v>
      </c>
      <c r="L125" s="4" t="inlineStr"/>
    </row>
    <row r="126">
      <c r="A126" s="4" t="n">
        <v>1122</v>
      </c>
      <c r="B126" s="5" t="n">
        <v>46063</v>
      </c>
      <c r="C126" s="4" t="inlineStr">
        <is>
          <t>Headphones</t>
        </is>
      </c>
      <c r="D126" s="4" t="inlineStr">
        <is>
          <t>Electronics</t>
        </is>
      </c>
      <c r="E126" s="4" t="inlineStr">
        <is>
          <t>Tech World</t>
        </is>
      </c>
      <c r="F126" s="4" t="inlineStr">
        <is>
          <t>West</t>
        </is>
      </c>
      <c r="G126" s="4" t="inlineStr">
        <is>
          <t>Online</t>
        </is>
      </c>
      <c r="H126" s="4" t="inlineStr">
        <is>
          <t>Rohan</t>
        </is>
      </c>
      <c r="I126" s="6" t="n">
        <v>1</v>
      </c>
      <c r="J126" s="7" t="n">
        <v>3000</v>
      </c>
      <c r="K126" s="7" t="n">
        <v>3000</v>
      </c>
      <c r="L126" s="4" t="inlineStr"/>
    </row>
    <row r="127">
      <c r="A127" s="4" t="n">
        <v>1123</v>
      </c>
      <c r="B127" s="5" t="n">
        <v>46097</v>
      </c>
      <c r="C127" s="4" t="inlineStr">
        <is>
          <t>Desk</t>
        </is>
      </c>
      <c r="D127" s="4" t="inlineStr">
        <is>
          <t>Furniture</t>
        </is>
      </c>
      <c r="E127" s="4" t="inlineStr">
        <is>
          <t>Urban Store</t>
        </is>
      </c>
      <c r="F127" s="4" t="inlineStr">
        <is>
          <t>East</t>
        </is>
      </c>
      <c r="G127" s="4" t="inlineStr">
        <is>
          <t>Distributor</t>
        </is>
      </c>
      <c r="H127" s="4" t="inlineStr">
        <is>
          <t>Rohan</t>
        </is>
      </c>
      <c r="I127" s="6" t="n">
        <v>4</v>
      </c>
      <c r="J127" s="7" t="n">
        <v>12000</v>
      </c>
      <c r="K127" s="7" t="n">
        <v>48000</v>
      </c>
      <c r="L127" s="4" t="inlineStr"/>
    </row>
    <row r="128">
      <c r="A128" s="4" t="n">
        <v>1124</v>
      </c>
      <c r="B128" s="5" t="n">
        <v>46041</v>
      </c>
      <c r="C128" s="4" t="inlineStr">
        <is>
          <t>Monitor</t>
        </is>
      </c>
      <c r="D128" s="4" t="inlineStr">
        <is>
          <t>Electronics</t>
        </is>
      </c>
      <c r="E128" s="4" t="inlineStr">
        <is>
          <t>Smart Mart</t>
        </is>
      </c>
      <c r="F128" s="4" t="inlineStr">
        <is>
          <t>East</t>
        </is>
      </c>
      <c r="G128" s="4" t="inlineStr">
        <is>
          <t>Distributor</t>
        </is>
      </c>
      <c r="H128" s="4" t="inlineStr">
        <is>
          <t>Kabir</t>
        </is>
      </c>
      <c r="I128" s="6" t="n">
        <v>4</v>
      </c>
      <c r="J128" s="7" t="n">
        <v>15000</v>
      </c>
      <c r="K128" s="7" t="n">
        <v>60000</v>
      </c>
      <c r="L128" s="4" t="inlineStr">
        <is>
          <t>Priority</t>
        </is>
      </c>
    </row>
    <row r="129">
      <c r="A129" s="4" t="n">
        <v>1125</v>
      </c>
      <c r="B129" s="5" t="n">
        <v>46080</v>
      </c>
      <c r="C129" s="4" t="inlineStr">
        <is>
          <t>Keyboard</t>
        </is>
      </c>
      <c r="D129" s="4" t="inlineStr">
        <is>
          <t>Electronics</t>
        </is>
      </c>
      <c r="E129" s="4" t="inlineStr">
        <is>
          <t>Tech World</t>
        </is>
      </c>
      <c r="F129" s="4" t="inlineStr">
        <is>
          <t>West</t>
        </is>
      </c>
      <c r="G129" s="4" t="inlineStr">
        <is>
          <t>Store</t>
        </is>
      </c>
      <c r="H129" s="4" t="inlineStr">
        <is>
          <t>Aarav</t>
        </is>
      </c>
      <c r="I129" s="6" t="n">
        <v>5</v>
      </c>
      <c r="J129" s="7" t="n">
        <v>2500</v>
      </c>
      <c r="K129" s="7" t="n">
        <v>12500</v>
      </c>
      <c r="L129" s="4" t="inlineStr">
        <is>
          <t>Priority</t>
        </is>
      </c>
    </row>
    <row r="130">
      <c r="A130" s="4" t="n">
        <v>1126</v>
      </c>
      <c r="B130" s="5" t="n">
        <v>46101</v>
      </c>
      <c r="C130" s="4" t="inlineStr">
        <is>
          <t>Keyboard</t>
        </is>
      </c>
      <c r="D130" s="4" t="inlineStr">
        <is>
          <t>Electronics</t>
        </is>
      </c>
      <c r="E130" s="4" t="inlineStr">
        <is>
          <t>PQR Stores</t>
        </is>
      </c>
      <c r="F130" s="4" t="inlineStr">
        <is>
          <t>South</t>
        </is>
      </c>
      <c r="G130" s="4" t="inlineStr">
        <is>
          <t>Online</t>
        </is>
      </c>
      <c r="H130" s="4" t="inlineStr">
        <is>
          <t>Aarav</t>
        </is>
      </c>
      <c r="I130" s="6" t="n">
        <v>2</v>
      </c>
      <c r="J130" s="7" t="n">
        <v>2500</v>
      </c>
      <c r="K130" s="7" t="n">
        <v>5000</v>
      </c>
      <c r="L130" s="4" t="inlineStr"/>
    </row>
    <row r="131">
      <c r="A131" s="4" t="n">
        <v>1127</v>
      </c>
      <c r="B131" s="5" t="n">
        <v>46202</v>
      </c>
      <c r="C131" s="4" t="inlineStr">
        <is>
          <t>Keyboard</t>
        </is>
      </c>
      <c r="D131" s="4" t="inlineStr">
        <is>
          <t>Electronics</t>
        </is>
      </c>
      <c r="E131" s="4" t="inlineStr">
        <is>
          <t>Urban Store</t>
        </is>
      </c>
      <c r="F131" s="4" t="inlineStr">
        <is>
          <t>East</t>
        </is>
      </c>
      <c r="G131" s="4" t="inlineStr">
        <is>
          <t>Online</t>
        </is>
      </c>
      <c r="H131" s="4" t="inlineStr">
        <is>
          <t>Meera</t>
        </is>
      </c>
      <c r="I131" s="6" t="n">
        <v>3</v>
      </c>
      <c r="J131" s="7" t="n">
        <v>2500</v>
      </c>
      <c r="K131" s="7" t="n">
        <v>7500</v>
      </c>
      <c r="L131" s="4" t="inlineStr">
        <is>
          <t>Promo</t>
        </is>
      </c>
    </row>
    <row r="132">
      <c r="A132" s="4" t="n">
        <v>1128</v>
      </c>
      <c r="B132" s="5" t="n">
        <v>46033</v>
      </c>
      <c r="C132" s="4" t="inlineStr">
        <is>
          <t>Keyboard</t>
        </is>
      </c>
      <c r="D132" s="4" t="inlineStr">
        <is>
          <t>Electronics</t>
        </is>
      </c>
      <c r="E132" s="4" t="inlineStr">
        <is>
          <t>Urban Store</t>
        </is>
      </c>
      <c r="F132" s="4" t="inlineStr">
        <is>
          <t>East</t>
        </is>
      </c>
      <c r="G132" s="4" t="inlineStr">
        <is>
          <t>Store</t>
        </is>
      </c>
      <c r="H132" s="4" t="inlineStr">
        <is>
          <t>Aarav</t>
        </is>
      </c>
      <c r="I132" s="6" t="n">
        <v>5</v>
      </c>
      <c r="J132" s="7" t="n">
        <v>2500</v>
      </c>
      <c r="K132" s="7" t="n">
        <v>12500</v>
      </c>
      <c r="L132" s="4" t="inlineStr">
        <is>
          <t>Promo</t>
        </is>
      </c>
    </row>
    <row r="133">
      <c r="A133" s="4" t="n">
        <v>1129</v>
      </c>
      <c r="B133" s="5" t="n">
        <v>46195</v>
      </c>
      <c r="C133" s="4" t="inlineStr">
        <is>
          <t>Office Chair</t>
        </is>
      </c>
      <c r="D133" s="4" t="inlineStr">
        <is>
          <t>Furniture</t>
        </is>
      </c>
      <c r="E133" s="4" t="inlineStr">
        <is>
          <t>Smart Mart</t>
        </is>
      </c>
      <c r="F133" s="4" t="inlineStr">
        <is>
          <t>East</t>
        </is>
      </c>
      <c r="G133" s="4" t="inlineStr">
        <is>
          <t>Online</t>
        </is>
      </c>
      <c r="H133" s="4" t="inlineStr">
        <is>
          <t>Aarav</t>
        </is>
      </c>
      <c r="I133" s="6" t="n">
        <v>2</v>
      </c>
      <c r="J133" s="7" t="n">
        <v>8000</v>
      </c>
      <c r="K133" s="7" t="n">
        <v>16000</v>
      </c>
      <c r="L133" s="4" t="inlineStr"/>
    </row>
    <row r="134">
      <c r="A134" s="4" t="n">
        <v>1130</v>
      </c>
      <c r="B134" s="5" t="n">
        <v>46143</v>
      </c>
      <c r="C134" s="4" t="inlineStr">
        <is>
          <t>Laptop</t>
        </is>
      </c>
      <c r="D134" s="4" t="inlineStr">
        <is>
          <t>Electronics</t>
        </is>
      </c>
      <c r="E134" s="4" t="inlineStr">
        <is>
          <t>Smart Mart</t>
        </is>
      </c>
      <c r="F134" s="4" t="inlineStr">
        <is>
          <t>East</t>
        </is>
      </c>
      <c r="G134" s="4" t="inlineStr">
        <is>
          <t>Distributor</t>
        </is>
      </c>
      <c r="H134" s="4" t="inlineStr">
        <is>
          <t>Aarav</t>
        </is>
      </c>
      <c r="I134" s="6" t="n">
        <v>2</v>
      </c>
      <c r="J134" s="7" t="n">
        <v>50000</v>
      </c>
      <c r="K134" s="7" t="n">
        <v>100000</v>
      </c>
      <c r="L134" s="4" t="inlineStr"/>
    </row>
    <row r="135">
      <c r="A135" s="4" t="n">
        <v>1131</v>
      </c>
      <c r="B135" s="5" t="n">
        <v>46185</v>
      </c>
      <c r="C135" s="4" t="inlineStr">
        <is>
          <t>Bookshelf</t>
        </is>
      </c>
      <c r="D135" s="4" t="inlineStr">
        <is>
          <t>Furniture</t>
        </is>
      </c>
      <c r="E135" s="4" t="inlineStr">
        <is>
          <t>Smart Mart</t>
        </is>
      </c>
      <c r="F135" s="4" t="inlineStr">
        <is>
          <t>East</t>
        </is>
      </c>
      <c r="G135" s="4" t="inlineStr">
        <is>
          <t>Online</t>
        </is>
      </c>
      <c r="H135" s="4" t="inlineStr">
        <is>
          <t>Rohan</t>
        </is>
      </c>
      <c r="I135" s="6" t="n">
        <v>4</v>
      </c>
      <c r="J135" s="7" t="n">
        <v>7000</v>
      </c>
      <c r="K135" s="7" t="n">
        <v>28000</v>
      </c>
      <c r="L135" s="4" t="inlineStr">
        <is>
          <t>Promo</t>
        </is>
      </c>
    </row>
    <row r="136">
      <c r="A136" s="4" t="n">
        <v>1132</v>
      </c>
      <c r="B136" s="5" t="n">
        <v>46105</v>
      </c>
      <c r="C136" s="4" t="inlineStr">
        <is>
          <t>Smartphone</t>
        </is>
      </c>
      <c r="D136" s="4" t="inlineStr">
        <is>
          <t>Electronics</t>
        </is>
      </c>
      <c r="E136" s="4" t="inlineStr">
        <is>
          <t>Urban Store</t>
        </is>
      </c>
      <c r="F136" s="4" t="inlineStr">
        <is>
          <t>East</t>
        </is>
      </c>
      <c r="G136" s="4" t="inlineStr">
        <is>
          <t>Store</t>
        </is>
      </c>
      <c r="H136" s="4" t="inlineStr">
        <is>
          <t>Meera</t>
        </is>
      </c>
      <c r="I136" s="6" t="n">
        <v>3</v>
      </c>
      <c r="J136" s="7" t="n">
        <v>30000</v>
      </c>
      <c r="K136" s="7" t="n">
        <v>90000</v>
      </c>
      <c r="L136" s="4" t="inlineStr"/>
    </row>
    <row r="137">
      <c r="A137" s="4" t="n">
        <v>1133</v>
      </c>
      <c r="B137" s="5" t="n">
        <v>46096</v>
      </c>
      <c r="C137" s="4" t="inlineStr">
        <is>
          <t>Headphones</t>
        </is>
      </c>
      <c r="D137" s="4" t="inlineStr">
        <is>
          <t>Electronics</t>
        </is>
      </c>
      <c r="E137" s="4" t="inlineStr">
        <is>
          <t>METRO TRADERS</t>
        </is>
      </c>
      <c r="F137" s="4" t="inlineStr">
        <is>
          <t>North</t>
        </is>
      </c>
      <c r="G137" s="4" t="inlineStr">
        <is>
          <t>Store</t>
        </is>
      </c>
      <c r="H137" s="4" t="inlineStr">
        <is>
          <t>Isha</t>
        </is>
      </c>
      <c r="I137" s="6" t="n">
        <v>4</v>
      </c>
      <c r="J137" s="7" t="n">
        <v>3000</v>
      </c>
      <c r="K137" s="7" t="n">
        <v>12000</v>
      </c>
      <c r="L137" s="4" t="inlineStr">
        <is>
          <t>Promo</t>
        </is>
      </c>
    </row>
    <row r="138">
      <c r="A138" s="4" t="n">
        <v>1134</v>
      </c>
      <c r="B138" s="5" t="n">
        <v>46105</v>
      </c>
      <c r="C138" s="4" t="inlineStr">
        <is>
          <t>Laptop</t>
        </is>
      </c>
      <c r="D138" s="4" t="inlineStr">
        <is>
          <t>Electronics</t>
        </is>
      </c>
      <c r="E138" s="4" t="inlineStr">
        <is>
          <t>Urban Store</t>
        </is>
      </c>
      <c r="F138" s="4" t="inlineStr">
        <is>
          <t>East</t>
        </is>
      </c>
      <c r="G138" s="4" t="inlineStr">
        <is>
          <t>Online</t>
        </is>
      </c>
      <c r="H138" s="4" t="inlineStr">
        <is>
          <t>Kabir</t>
        </is>
      </c>
      <c r="I138" s="6" t="n">
        <v>3</v>
      </c>
      <c r="J138" s="7" t="n">
        <v>50000</v>
      </c>
      <c r="K138" s="7" t="n">
        <v>150000</v>
      </c>
      <c r="L138" s="4" t="inlineStr"/>
    </row>
    <row r="139">
      <c r="A139" s="4" t="n">
        <v>1135</v>
      </c>
      <c r="B139" s="5" t="n">
        <v>46128</v>
      </c>
      <c r="C139" s="4" t="inlineStr">
        <is>
          <t>Desk</t>
        </is>
      </c>
      <c r="D139" s="4" t="inlineStr">
        <is>
          <t>Furniture</t>
        </is>
      </c>
      <c r="E139" s="4" t="inlineStr">
        <is>
          <t>ABC Electronics</t>
        </is>
      </c>
      <c r="F139" s="4" t="inlineStr">
        <is>
          <t>West</t>
        </is>
      </c>
      <c r="G139" s="4" t="inlineStr">
        <is>
          <t>Distributor</t>
        </is>
      </c>
      <c r="H139" s="4" t="inlineStr">
        <is>
          <t>Rohan</t>
        </is>
      </c>
      <c r="I139" s="6" t="n">
        <v>4</v>
      </c>
      <c r="J139" s="7" t="n">
        <v>12000</v>
      </c>
      <c r="K139" s="7" t="n">
        <v>48000</v>
      </c>
      <c r="L139" s="4" t="inlineStr"/>
    </row>
    <row r="140">
      <c r="A140" s="4" t="n">
        <v>1136</v>
      </c>
      <c r="B140" s="5" t="n">
        <v>46036</v>
      </c>
      <c r="C140" s="4" t="inlineStr">
        <is>
          <t xml:space="preserve"> Monitor </t>
        </is>
      </c>
      <c r="D140" s="4" t="inlineStr">
        <is>
          <t>Electronics</t>
        </is>
      </c>
      <c r="E140" s="4" t="inlineStr">
        <is>
          <t>Metro Traders</t>
        </is>
      </c>
      <c r="F140" s="4" t="inlineStr">
        <is>
          <t>North</t>
        </is>
      </c>
      <c r="G140" s="4" t="inlineStr">
        <is>
          <t>Distributor</t>
        </is>
      </c>
      <c r="H140" s="4" t="inlineStr">
        <is>
          <t>Meera</t>
        </is>
      </c>
      <c r="I140" s="6" t="n">
        <v>4</v>
      </c>
      <c r="J140" s="7" t="n">
        <v>15000</v>
      </c>
      <c r="K140" s="7" t="n">
        <v>60000</v>
      </c>
      <c r="L140" s="4" t="inlineStr">
        <is>
          <t>Priority</t>
        </is>
      </c>
    </row>
    <row r="141">
      <c r="A141" s="4" t="n">
        <v>1137</v>
      </c>
      <c r="B141" s="5" t="n">
        <v>46054</v>
      </c>
      <c r="C141" s="4" t="inlineStr">
        <is>
          <t>Keyboard</t>
        </is>
      </c>
      <c r="D141" s="4" t="inlineStr">
        <is>
          <t>Electronics</t>
        </is>
      </c>
      <c r="E141" s="4" t="inlineStr">
        <is>
          <t>PQR Stores</t>
        </is>
      </c>
      <c r="F141" s="4" t="inlineStr">
        <is>
          <t>South</t>
        </is>
      </c>
      <c r="G141" s="4" t="inlineStr">
        <is>
          <t>Store</t>
        </is>
      </c>
      <c r="H141" s="4" t="inlineStr">
        <is>
          <t>Meera</t>
        </is>
      </c>
      <c r="I141" s="6" t="n">
        <v>4</v>
      </c>
      <c r="J141" s="7" t="n">
        <v>2500</v>
      </c>
      <c r="K141" s="7" t="n">
        <v>10000</v>
      </c>
      <c r="L141" s="4" t="inlineStr"/>
    </row>
    <row r="142">
      <c r="A142" s="4" t="n">
        <v>1138</v>
      </c>
      <c r="B142" s="5" t="n">
        <v>46164</v>
      </c>
      <c r="C142" s="4" t="inlineStr">
        <is>
          <t>Monitor</t>
        </is>
      </c>
      <c r="D142" s="4" t="inlineStr">
        <is>
          <t>Electronics</t>
        </is>
      </c>
      <c r="E142" s="4" t="inlineStr">
        <is>
          <t>pqr stores</t>
        </is>
      </c>
      <c r="F142" s="4" t="inlineStr">
        <is>
          <t>South</t>
        </is>
      </c>
      <c r="G142" s="4" t="inlineStr">
        <is>
          <t>Store</t>
        </is>
      </c>
      <c r="H142" s="4" t="inlineStr">
        <is>
          <t>Rohan</t>
        </is>
      </c>
      <c r="I142" s="6" t="n">
        <v>1</v>
      </c>
      <c r="J142" s="7" t="n">
        <v>15000</v>
      </c>
      <c r="K142" s="7" t="n">
        <v>15000</v>
      </c>
      <c r="L142" s="4" t="inlineStr">
        <is>
          <t>Promo</t>
        </is>
      </c>
    </row>
    <row r="143">
      <c r="A143" s="4" t="n">
        <v>1139</v>
      </c>
      <c r="B143" s="5" t="n">
        <v>46188</v>
      </c>
      <c r="C143" s="4" t="inlineStr">
        <is>
          <t>Smartphone</t>
        </is>
      </c>
      <c r="D143" s="4" t="inlineStr">
        <is>
          <t>Electronics</t>
        </is>
      </c>
      <c r="E143" s="4" t="inlineStr">
        <is>
          <t>Tech World</t>
        </is>
      </c>
      <c r="F143" s="4" t="inlineStr">
        <is>
          <t>West</t>
        </is>
      </c>
      <c r="G143" s="4" t="inlineStr">
        <is>
          <t>Online</t>
        </is>
      </c>
      <c r="H143" s="4" t="inlineStr">
        <is>
          <t>Meera</t>
        </is>
      </c>
      <c r="I143" s="6" t="n">
        <v>1</v>
      </c>
      <c r="J143" s="7" t="n">
        <v>30000</v>
      </c>
      <c r="K143" s="7" t="n">
        <v>30000</v>
      </c>
      <c r="L143" s="4" t="inlineStr">
        <is>
          <t>Priority</t>
        </is>
      </c>
    </row>
    <row r="144">
      <c r="A144" s="4" t="n">
        <v>1140</v>
      </c>
      <c r="B144" s="5" t="n">
        <v>46129</v>
      </c>
      <c r="C144" s="4" t="inlineStr">
        <is>
          <t>Bookshelf</t>
        </is>
      </c>
      <c r="D144" s="4" t="inlineStr">
        <is>
          <t>Furniture</t>
        </is>
      </c>
      <c r="E144" s="4" t="inlineStr">
        <is>
          <t>Smart Mart</t>
        </is>
      </c>
      <c r="F144" s="4" t="inlineStr">
        <is>
          <t>East</t>
        </is>
      </c>
      <c r="G144" s="4" t="inlineStr">
        <is>
          <t>Distributor</t>
        </is>
      </c>
      <c r="H144" s="4" t="inlineStr">
        <is>
          <t>Isha</t>
        </is>
      </c>
      <c r="I144" s="6" t="n">
        <v>3</v>
      </c>
      <c r="J144" s="7" t="n">
        <v>7000</v>
      </c>
      <c r="K144" s="7" t="n">
        <v>21000</v>
      </c>
      <c r="L144" s="4" t="inlineStr">
        <is>
          <t>Promo</t>
        </is>
      </c>
    </row>
    <row r="145">
      <c r="A145" s="4" t="n">
        <v>1141</v>
      </c>
      <c r="B145" s="5" t="n">
        <v>46121</v>
      </c>
      <c r="C145" s="4" t="inlineStr">
        <is>
          <t>Bookshelf</t>
        </is>
      </c>
      <c r="D145" s="4" t="inlineStr">
        <is>
          <t>Furniture</t>
        </is>
      </c>
      <c r="E145" s="4" t="inlineStr">
        <is>
          <t>Tech World</t>
        </is>
      </c>
      <c r="F145" s="4" t="inlineStr">
        <is>
          <t>West</t>
        </is>
      </c>
      <c r="G145" s="4" t="inlineStr">
        <is>
          <t>Store</t>
        </is>
      </c>
      <c r="H145" s="4" t="inlineStr">
        <is>
          <t>Rohan</t>
        </is>
      </c>
      <c r="I145" s="6" t="n">
        <v>2</v>
      </c>
      <c r="J145" s="7" t="n">
        <v>7000</v>
      </c>
      <c r="K145" s="7" t="n">
        <v>14000</v>
      </c>
      <c r="L145" s="4" t="inlineStr">
        <is>
          <t>Priority</t>
        </is>
      </c>
    </row>
    <row r="146">
      <c r="A146" s="4" t="n">
        <v>1142</v>
      </c>
      <c r="B146" s="5" t="n">
        <v>46152</v>
      </c>
      <c r="C146" s="4" t="inlineStr">
        <is>
          <t>Headphones</t>
        </is>
      </c>
      <c r="D146" s="4" t="inlineStr">
        <is>
          <t>Electronics</t>
        </is>
      </c>
      <c r="E146" s="4" t="inlineStr">
        <is>
          <t>XYZ Retail</t>
        </is>
      </c>
      <c r="F146" s="4" t="inlineStr">
        <is>
          <t>North</t>
        </is>
      </c>
      <c r="G146" s="4" t="inlineStr">
        <is>
          <t>Store</t>
        </is>
      </c>
      <c r="H146" s="4" t="inlineStr">
        <is>
          <t>Meera</t>
        </is>
      </c>
      <c r="I146" s="6" t="n">
        <v>3</v>
      </c>
      <c r="J146" s="7" t="n">
        <v>3000</v>
      </c>
      <c r="K146" s="7" t="n">
        <v>9000</v>
      </c>
      <c r="L146" s="4" t="inlineStr">
        <is>
          <t>Repeat customer</t>
        </is>
      </c>
    </row>
    <row r="147">
      <c r="A147" s="4" t="n">
        <v>1143</v>
      </c>
      <c r="B147" s="5" t="n">
        <v>46171</v>
      </c>
      <c r="C147" s="4" t="inlineStr">
        <is>
          <t>Laptop</t>
        </is>
      </c>
      <c r="D147" s="4" t="inlineStr">
        <is>
          <t>Electronics</t>
        </is>
      </c>
      <c r="E147" s="4" t="inlineStr">
        <is>
          <t>Smart Mart</t>
        </is>
      </c>
      <c r="F147" s="4" t="inlineStr">
        <is>
          <t>East</t>
        </is>
      </c>
      <c r="G147" s="4" t="inlineStr">
        <is>
          <t>Distributor</t>
        </is>
      </c>
      <c r="H147" s="4" t="inlineStr">
        <is>
          <t>Kabir</t>
        </is>
      </c>
      <c r="I147" s="6" t="n">
        <v>5</v>
      </c>
      <c r="J147" s="7" t="n">
        <v>50000</v>
      </c>
      <c r="K147" s="7" t="n">
        <v>250000</v>
      </c>
      <c r="L147" s="4" t="inlineStr">
        <is>
          <t>Promo</t>
        </is>
      </c>
    </row>
    <row r="148">
      <c r="A148" s="4" t="n">
        <v>1144</v>
      </c>
      <c r="B148" s="5" t="n">
        <v>46108</v>
      </c>
      <c r="C148" s="4" t="inlineStr">
        <is>
          <t>Headphones</t>
        </is>
      </c>
      <c r="D148" s="4" t="inlineStr">
        <is>
          <t>Electronics</t>
        </is>
      </c>
      <c r="E148" s="4" t="inlineStr">
        <is>
          <t>Urban Store</t>
        </is>
      </c>
      <c r="F148" s="4" t="inlineStr">
        <is>
          <t>East</t>
        </is>
      </c>
      <c r="G148" s="4" t="inlineStr">
        <is>
          <t>Distributor</t>
        </is>
      </c>
      <c r="H148" s="4" t="inlineStr">
        <is>
          <t>Meera</t>
        </is>
      </c>
      <c r="I148" s="6" t="n">
        <v>3</v>
      </c>
      <c r="J148" s="7" t="n">
        <v>3000</v>
      </c>
      <c r="K148" s="7" t="n">
        <v>9000</v>
      </c>
      <c r="L148" s="4" t="inlineStr"/>
    </row>
    <row r="149">
      <c r="A149" s="4" t="n">
        <v>1145</v>
      </c>
      <c r="B149" s="5" t="n">
        <v>46169</v>
      </c>
      <c r="C149" s="4" t="inlineStr">
        <is>
          <t>Desk</t>
        </is>
      </c>
      <c r="D149" s="4" t="inlineStr">
        <is>
          <t>Furniture</t>
        </is>
      </c>
      <c r="E149" s="4" t="inlineStr">
        <is>
          <t>Urban Store</t>
        </is>
      </c>
      <c r="F149" s="4" t="inlineStr">
        <is>
          <t>east</t>
        </is>
      </c>
      <c r="G149" s="4" t="inlineStr">
        <is>
          <t>Store</t>
        </is>
      </c>
      <c r="H149" s="4" t="inlineStr">
        <is>
          <t>Diya</t>
        </is>
      </c>
      <c r="I149" s="6" t="n">
        <v>2</v>
      </c>
      <c r="J149" s="7" t="n">
        <v>12000</v>
      </c>
      <c r="K149" s="7" t="n">
        <v>24000</v>
      </c>
      <c r="L149" s="4" t="inlineStr">
        <is>
          <t>Promo</t>
        </is>
      </c>
    </row>
    <row r="150">
      <c r="A150" s="4" t="n">
        <v>1146</v>
      </c>
      <c r="B150" s="5" t="n">
        <v>46203</v>
      </c>
      <c r="C150" s="4" t="inlineStr">
        <is>
          <t>Monitor</t>
        </is>
      </c>
      <c r="D150" s="4" t="inlineStr">
        <is>
          <t>Electronics</t>
        </is>
      </c>
      <c r="E150" s="4" t="inlineStr">
        <is>
          <t>Prime Retail</t>
        </is>
      </c>
      <c r="F150" s="4" t="inlineStr">
        <is>
          <t>South</t>
        </is>
      </c>
      <c r="G150" s="4" t="inlineStr">
        <is>
          <t>Online</t>
        </is>
      </c>
      <c r="H150" s="4" t="inlineStr">
        <is>
          <t>Kabir</t>
        </is>
      </c>
      <c r="I150" s="6" t="n">
        <v>4</v>
      </c>
      <c r="J150" s="7" t="n">
        <v>15000</v>
      </c>
      <c r="K150" s="7" t="n">
        <v>60000</v>
      </c>
      <c r="L150" s="4" t="inlineStr">
        <is>
          <t>Promo</t>
        </is>
      </c>
    </row>
    <row r="151">
      <c r="A151" s="4" t="n">
        <v>1147</v>
      </c>
      <c r="B151" s="5" t="n">
        <v>46151</v>
      </c>
      <c r="C151" s="4" t="inlineStr">
        <is>
          <t>Desk</t>
        </is>
      </c>
      <c r="D151" s="4" t="inlineStr">
        <is>
          <t>Furniture</t>
        </is>
      </c>
      <c r="E151" s="4" t="inlineStr">
        <is>
          <t>PQR Stores</t>
        </is>
      </c>
      <c r="F151" s="4" t="inlineStr">
        <is>
          <t>South</t>
        </is>
      </c>
      <c r="G151" s="4" t="inlineStr">
        <is>
          <t>Store</t>
        </is>
      </c>
      <c r="H151" s="4" t="inlineStr">
        <is>
          <t>Aarav</t>
        </is>
      </c>
      <c r="I151" s="6" t="n">
        <v>2</v>
      </c>
      <c r="J151" s="7" t="n">
        <v>12000</v>
      </c>
      <c r="K151" s="7" t="n">
        <v>24000</v>
      </c>
      <c r="L151" s="4" t="inlineStr"/>
    </row>
    <row r="152">
      <c r="A152" s="4" t="n">
        <v>1148</v>
      </c>
      <c r="B152" s="5" t="n">
        <v>46139</v>
      </c>
      <c r="C152" s="4" t="inlineStr">
        <is>
          <t>Office Chair</t>
        </is>
      </c>
      <c r="D152" s="4" t="inlineStr">
        <is>
          <t>Furniture</t>
        </is>
      </c>
      <c r="E152" s="4" t="inlineStr">
        <is>
          <t>XYZ Retail</t>
        </is>
      </c>
      <c r="F152" s="4" t="inlineStr">
        <is>
          <t>North</t>
        </is>
      </c>
      <c r="G152" s="4" t="inlineStr">
        <is>
          <t>Store</t>
        </is>
      </c>
      <c r="H152" s="4" t="inlineStr">
        <is>
          <t>Aarav</t>
        </is>
      </c>
      <c r="I152" s="6" t="n">
        <v>5</v>
      </c>
      <c r="J152" s="7" t="n">
        <v>8000</v>
      </c>
      <c r="K152" s="7" t="n">
        <v>40000</v>
      </c>
      <c r="L152" s="4" t="inlineStr"/>
    </row>
    <row r="153">
      <c r="A153" s="4" t="n">
        <v>1149</v>
      </c>
      <c r="B153" s="5" t="n">
        <v>46143</v>
      </c>
      <c r="C153" s="4" t="inlineStr">
        <is>
          <t>Headphones</t>
        </is>
      </c>
      <c r="D153" s="4" t="inlineStr">
        <is>
          <t>Electronics</t>
        </is>
      </c>
      <c r="E153" s="4" t="inlineStr">
        <is>
          <t>Prime Retail</t>
        </is>
      </c>
      <c r="F153" s="4" t="inlineStr">
        <is>
          <t>South</t>
        </is>
      </c>
      <c r="G153" s="4" t="inlineStr">
        <is>
          <t>Distributor</t>
        </is>
      </c>
      <c r="H153" s="4" t="inlineStr">
        <is>
          <t>Diya</t>
        </is>
      </c>
      <c r="I153" s="6" t="n">
        <v>1</v>
      </c>
      <c r="J153" s="7" t="n">
        <v>3000</v>
      </c>
      <c r="K153" s="7" t="n">
        <v>3000</v>
      </c>
      <c r="L153" s="4" t="inlineStr">
        <is>
          <t>Repeat customer</t>
        </is>
      </c>
    </row>
    <row r="154">
      <c r="A154" s="4" t="n">
        <v>1150</v>
      </c>
      <c r="B154" s="5" t="n">
        <v>46195</v>
      </c>
      <c r="C154" s="4" t="inlineStr">
        <is>
          <t>Office Chair</t>
        </is>
      </c>
      <c r="D154" s="4" t="inlineStr">
        <is>
          <t>Furniture</t>
        </is>
      </c>
      <c r="E154" s="4" t="inlineStr">
        <is>
          <t>Prime Retail</t>
        </is>
      </c>
      <c r="F154" s="4" t="inlineStr">
        <is>
          <t>South</t>
        </is>
      </c>
      <c r="G154" s="4" t="inlineStr">
        <is>
          <t>Distributor</t>
        </is>
      </c>
      <c r="H154" s="4" t="inlineStr">
        <is>
          <t>Aarav</t>
        </is>
      </c>
      <c r="I154" s="6" t="n">
        <v>3</v>
      </c>
      <c r="J154" s="7" t="n">
        <v>8000</v>
      </c>
      <c r="K154" s="7" t="n">
        <v>24000</v>
      </c>
      <c r="L154" s="4" t="inlineStr"/>
    </row>
    <row r="155">
      <c r="A155" s="4" t="n">
        <v>1025</v>
      </c>
      <c r="B155" s="5" t="n">
        <v>46065</v>
      </c>
      <c r="C155" s="4" t="inlineStr">
        <is>
          <t>Headphones</t>
        </is>
      </c>
      <c r="D155" s="4" t="inlineStr">
        <is>
          <t>Electronics</t>
        </is>
      </c>
      <c r="E155" s="4" t="inlineStr">
        <is>
          <t>PQR Stores</t>
        </is>
      </c>
      <c r="F155" s="4" t="inlineStr">
        <is>
          <t>South</t>
        </is>
      </c>
      <c r="G155" s="4" t="inlineStr">
        <is>
          <t>Distributor</t>
        </is>
      </c>
      <c r="H155" s="4" t="inlineStr">
        <is>
          <t>Meera</t>
        </is>
      </c>
      <c r="I155" s="6" t="n">
        <v>5</v>
      </c>
      <c r="J155" s="7" t="n">
        <v>3000</v>
      </c>
      <c r="K155" s="7" t="n">
        <v>15000</v>
      </c>
      <c r="L155" s="4" t="inlineStr">
        <is>
          <t>Repeat customer</t>
        </is>
      </c>
    </row>
    <row r="156">
      <c r="A156" s="4" t="n">
        <v>1080</v>
      </c>
      <c r="B156" s="5" t="n">
        <v>46089</v>
      </c>
      <c r="C156" s="4" t="inlineStr">
        <is>
          <t>Bookshelf</t>
        </is>
      </c>
      <c r="D156" s="4" t="inlineStr">
        <is>
          <t>Furniture</t>
        </is>
      </c>
      <c r="E156" s="4" t="inlineStr">
        <is>
          <t>PQR Stores</t>
        </is>
      </c>
      <c r="F156" s="4" t="inlineStr">
        <is>
          <t>South</t>
        </is>
      </c>
      <c r="G156" s="4" t="inlineStr">
        <is>
          <t>Distributor</t>
        </is>
      </c>
      <c r="H156" s="4" t="inlineStr">
        <is>
          <t>Meera</t>
        </is>
      </c>
      <c r="I156" s="6" t="n">
        <v>4</v>
      </c>
      <c r="J156" s="7" t="n">
        <v>7000</v>
      </c>
      <c r="K156" s="7" t="n">
        <v>28000</v>
      </c>
      <c r="L156" s="4" t="inlineStr">
        <is>
          <t>Priority</t>
        </is>
      </c>
    </row>
    <row r="157">
      <c r="A157" s="4" t="n">
        <v>1120</v>
      </c>
      <c r="B157" s="5" t="n">
        <v>46132</v>
      </c>
      <c r="C157" s="4" t="inlineStr">
        <is>
          <t>Desk</t>
        </is>
      </c>
      <c r="D157" s="4" t="inlineStr">
        <is>
          <t>Furniture</t>
        </is>
      </c>
      <c r="E157" s="4" t="inlineStr">
        <is>
          <t>Urban Store</t>
        </is>
      </c>
      <c r="F157" s="4" t="inlineStr">
        <is>
          <t>East</t>
        </is>
      </c>
      <c r="G157" s="4" t="inlineStr">
        <is>
          <t>Store</t>
        </is>
      </c>
      <c r="H157" s="4" t="inlineStr">
        <is>
          <t>Kabir</t>
        </is>
      </c>
      <c r="I157" s="6" t="n">
        <v>5</v>
      </c>
      <c r="J157" s="7" t="n">
        <v>12000</v>
      </c>
      <c r="K157" s="7" t="n">
        <v>60000</v>
      </c>
      <c r="L157" s="4" t="inlineStr">
        <is>
          <t>Repeat customer</t>
        </is>
      </c>
    </row>
  </sheetData>
  <autoFilter ref="A4:L157"/>
  <mergeCells count="2">
    <mergeCell ref="A2:L2"/>
    <mergeCell ref="A1:L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5" customWidth="1" min="3" max="3"/>
  </cols>
  <sheetData>
    <row r="1" ht="30" customHeight="1">
      <c r="A1" s="1" t="inlineStr">
        <is>
          <t>AI Business Analyst — Excel Portfolio Workbook</t>
        </is>
      </c>
    </row>
    <row r="2">
      <c r="A2" s="2" t="inlineStr">
        <is>
          <t>A practical Excel project designed to demonstrate analyst skills, not just a pretty dashboard.</t>
        </is>
      </c>
    </row>
    <row r="4">
      <c r="A4" s="3" t="inlineStr">
        <is>
          <t>Step</t>
        </is>
      </c>
      <c r="B4" s="3" t="inlineStr">
        <is>
          <t>Sheet</t>
        </is>
      </c>
      <c r="C4" s="3" t="inlineStr">
        <is>
          <t>What to do</t>
        </is>
      </c>
    </row>
    <row r="5">
      <c r="A5" t="inlineStr">
        <is>
          <t>1</t>
        </is>
      </c>
      <c r="B5" t="inlineStr">
        <is>
          <t>Start with 01_Raw_Data</t>
        </is>
      </c>
      <c r="C5" t="inlineStr">
        <is>
          <t>Review the raw transactions, filters, table structure and intentional data-quality issues.</t>
        </is>
      </c>
    </row>
    <row r="6">
      <c r="A6" t="inlineStr">
        <is>
          <t>2</t>
        </is>
      </c>
      <c r="B6" t="inlineStr">
        <is>
          <t>Open 02_Clean_Data</t>
        </is>
      </c>
      <c r="C6" t="inlineStr">
        <is>
          <t>See formula-driven cleaning and calculated columns.</t>
        </is>
      </c>
    </row>
    <row r="7">
      <c r="A7" t="inlineStr">
        <is>
          <t>3</t>
        </is>
      </c>
      <c r="B7" t="inlineStr">
        <is>
          <t>Study 03_Lookups</t>
        </is>
      </c>
      <c r="C7" t="inlineStr">
        <is>
          <t>Understand XLOOKUP and INDEX-MATCH reference logic.</t>
        </is>
      </c>
    </row>
    <row r="8">
      <c r="A8" t="inlineStr">
        <is>
          <t>4</t>
        </is>
      </c>
      <c r="B8" t="inlineStr">
        <is>
          <t>Practice 04_Formula_Analysis</t>
        </is>
      </c>
      <c r="C8" t="inlineStr">
        <is>
          <t>Use the formulas as interview examples.</t>
        </is>
      </c>
    </row>
    <row r="9">
      <c r="A9" t="inlineStr">
        <is>
          <t>5</t>
        </is>
      </c>
      <c r="B9" t="inlineStr">
        <is>
          <t>Review 05_Pivot_Style</t>
        </is>
      </c>
      <c r="C9" t="inlineStr">
        <is>
          <t>Explain how grouped summaries answer business questions.</t>
        </is>
      </c>
    </row>
    <row r="10">
      <c r="A10" t="inlineStr">
        <is>
          <t>6</t>
        </is>
      </c>
      <c r="B10" t="inlineStr">
        <is>
          <t>Use 07_Interactive_Analysis</t>
        </is>
      </c>
      <c r="C10" t="inlineStr">
        <is>
          <t>Change dropdowns and observe SUMIFS / COUNTIFS results.</t>
        </is>
      </c>
    </row>
    <row r="11">
      <c r="A11" t="inlineStr">
        <is>
          <t>7</t>
        </is>
      </c>
      <c r="B11" t="inlineStr">
        <is>
          <t>Present 08_Executive_Dashboard</t>
        </is>
      </c>
      <c r="C11" t="inlineStr">
        <is>
          <t>Use this page as the management-facing output.</t>
        </is>
      </c>
    </row>
    <row r="12">
      <c r="A12" t="inlineStr">
        <is>
          <t>8</t>
        </is>
      </c>
      <c r="B12" t="inlineStr">
        <is>
          <t>Use 10_Excel_Skills</t>
        </is>
      </c>
      <c r="C12" t="inlineStr">
        <is>
          <t>Use it as your interview revision checklist.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22" customWidth="1" min="5" max="5"/>
    <col width="12" customWidth="1" min="6" max="6"/>
    <col width="15" customWidth="1" min="7" max="7"/>
    <col width="15" customWidth="1" min="8" max="8"/>
    <col width="10" customWidth="1" min="9" max="9"/>
    <col width="14" customWidth="1" min="10" max="10"/>
    <col width="14" customWidth="1" min="11" max="11"/>
    <col width="10" customWidth="1" min="12" max="12"/>
    <col width="10" customWidth="1" min="13" max="13"/>
    <col width="22" customWidth="1" min="14" max="14"/>
    <col width="20" customWidth="1" min="15" max="15"/>
    <col width="14" customWidth="1" min="16" max="16"/>
    <col width="14" customWidth="1" min="17" max="17"/>
    <col width="15" customWidth="1" min="18" max="18"/>
  </cols>
  <sheetData>
    <row r="1" ht="30" customHeight="1">
      <c r="A1" s="1" t="inlineStr">
        <is>
          <t>Data Cleaning &amp; Calculated Columns</t>
        </is>
      </c>
    </row>
    <row r="2">
      <c r="A2" s="2" t="inlineStr">
        <is>
          <t>Formula-driven cleaning: TRIM, PROPER, IFERROR, date extraction, revenue checks, profit and margin calculations.</t>
        </is>
      </c>
    </row>
    <row r="4">
      <c r="A4" s="3" t="inlineStr">
        <is>
          <t>Order ID</t>
        </is>
      </c>
      <c r="B4" s="3" t="inlineStr">
        <is>
          <t>Order Date</t>
        </is>
      </c>
      <c r="C4" s="3" t="inlineStr">
        <is>
          <t>Product</t>
        </is>
      </c>
      <c r="D4" s="3" t="inlineStr">
        <is>
          <t>Category</t>
        </is>
      </c>
      <c r="E4" s="3" t="inlineStr">
        <is>
          <t>Customer</t>
        </is>
      </c>
      <c r="F4" s="3" t="inlineStr">
        <is>
          <t>Region</t>
        </is>
      </c>
      <c r="G4" s="3" t="inlineStr">
        <is>
          <t>Channel</t>
        </is>
      </c>
      <c r="H4" s="3" t="inlineStr">
        <is>
          <t>Salesperson</t>
        </is>
      </c>
      <c r="I4" s="3" t="inlineStr">
        <is>
          <t>Quantity</t>
        </is>
      </c>
      <c r="J4" s="3" t="inlineStr">
        <is>
          <t>Unit Price</t>
        </is>
      </c>
      <c r="K4" s="3" t="inlineStr">
        <is>
          <t>Revenue</t>
        </is>
      </c>
      <c r="L4" s="3" t="inlineStr">
        <is>
          <t>Year</t>
        </is>
      </c>
      <c r="M4" s="3" t="inlineStr">
        <is>
          <t>Month</t>
        </is>
      </c>
      <c r="N4" s="3" t="inlineStr">
        <is>
          <t>Clean Customer</t>
        </is>
      </c>
      <c r="O4" s="3" t="inlineStr">
        <is>
          <t>Clean Product</t>
        </is>
      </c>
      <c r="P4" s="3" t="inlineStr">
        <is>
          <t>Profit</t>
        </is>
      </c>
      <c r="Q4" s="3" t="inlineStr">
        <is>
          <t>Profit Margin</t>
        </is>
      </c>
      <c r="R4" s="3" t="inlineStr">
        <is>
          <t>Revenue Band</t>
        </is>
      </c>
    </row>
    <row r="5">
      <c r="A5">
        <f>'01_Raw_Data'!A5</f>
        <v/>
      </c>
      <c r="B5" s="8">
        <f>'01_Raw_Data'!B5</f>
        <v/>
      </c>
      <c r="C5">
        <f>PROPER(TRIM('01_Raw_Data'!C5))</f>
        <v/>
      </c>
      <c r="D5">
        <f>PROPER(TRIM('01_Raw_Data'!D5))</f>
        <v/>
      </c>
      <c r="E5">
        <f>PROPER(TRIM('01_Raw_Data'!E5))</f>
        <v/>
      </c>
      <c r="F5">
        <f>PROPER(TRIM('01_Raw_Data'!F5))</f>
        <v/>
      </c>
      <c r="G5">
        <f>PROPER(TRIM('01_Raw_Data'!G5))</f>
        <v/>
      </c>
      <c r="H5">
        <f>PROPER(TRIM('01_Raw_Data'!H5))</f>
        <v/>
      </c>
      <c r="I5">
        <f>'01_Raw_Data'!I5</f>
        <v/>
      </c>
      <c r="J5" s="9">
        <f>'01_Raw_Data'!J5</f>
        <v/>
      </c>
      <c r="K5" s="9">
        <f>IFERROR(I5*J5,0)</f>
        <v/>
      </c>
      <c r="L5">
        <f>YEAR(B5)</f>
        <v/>
      </c>
      <c r="M5">
        <f>TEXT(B5,"mmm")</f>
        <v/>
      </c>
      <c r="N5">
        <f>PROPER(TRIM(E5))</f>
        <v/>
      </c>
      <c r="O5">
        <f>PROPER(TRIM(C5))</f>
        <v/>
      </c>
      <c r="P5" s="9">
        <f>K5*IFERROR(XLOOKUP(D5,'03_Lookups'!$E$5:$E$6,'03_Lookups'!$F$5:$F$6),0)</f>
        <v/>
      </c>
      <c r="Q5" s="10">
        <f>IFERROR(P5/K5,0)</f>
        <v/>
      </c>
      <c r="R5">
        <f>IFS(K5&gt;=50000,"High",K5&gt;=20000,"Medium",TRUE,"Low")</f>
        <v/>
      </c>
    </row>
    <row r="6">
      <c r="A6">
        <f>'01_Raw_Data'!A6</f>
        <v/>
      </c>
      <c r="B6" s="8">
        <f>'01_Raw_Data'!B6</f>
        <v/>
      </c>
      <c r="C6">
        <f>PROPER(TRIM('01_Raw_Data'!C6))</f>
        <v/>
      </c>
      <c r="D6">
        <f>PROPER(TRIM('01_Raw_Data'!D6))</f>
        <v/>
      </c>
      <c r="E6">
        <f>PROPER(TRIM('01_Raw_Data'!E6))</f>
        <v/>
      </c>
      <c r="F6">
        <f>PROPER(TRIM('01_Raw_Data'!F6))</f>
        <v/>
      </c>
      <c r="G6">
        <f>PROPER(TRIM('01_Raw_Data'!G6))</f>
        <v/>
      </c>
      <c r="H6">
        <f>PROPER(TRIM('01_Raw_Data'!H6))</f>
        <v/>
      </c>
      <c r="I6">
        <f>'01_Raw_Data'!I6</f>
        <v/>
      </c>
      <c r="J6" s="9">
        <f>'01_Raw_Data'!J6</f>
        <v/>
      </c>
      <c r="K6" s="9">
        <f>IFERROR(I6*J6,0)</f>
        <v/>
      </c>
      <c r="L6">
        <f>YEAR(B6)</f>
        <v/>
      </c>
      <c r="M6">
        <f>TEXT(B6,"mmm")</f>
        <v/>
      </c>
      <c r="N6">
        <f>PROPER(TRIM(E6))</f>
        <v/>
      </c>
      <c r="O6">
        <f>PROPER(TRIM(C6))</f>
        <v/>
      </c>
      <c r="P6" s="9">
        <f>K6*IFERROR(XLOOKUP(D6,'03_Lookups'!$E$5:$E$6,'03_Lookups'!$F$5:$F$6),0)</f>
        <v/>
      </c>
      <c r="Q6" s="10">
        <f>IFERROR(P6/K6,0)</f>
        <v/>
      </c>
      <c r="R6">
        <f>IFS(K6&gt;=50000,"High",K6&gt;=20000,"Medium",TRUE,"Low")</f>
        <v/>
      </c>
    </row>
    <row r="7">
      <c r="A7">
        <f>'01_Raw_Data'!A7</f>
        <v/>
      </c>
      <c r="B7" s="8">
        <f>'01_Raw_Data'!B7</f>
        <v/>
      </c>
      <c r="C7">
        <f>PROPER(TRIM('01_Raw_Data'!C7))</f>
        <v/>
      </c>
      <c r="D7">
        <f>PROPER(TRIM('01_Raw_Data'!D7))</f>
        <v/>
      </c>
      <c r="E7">
        <f>PROPER(TRIM('01_Raw_Data'!E7))</f>
        <v/>
      </c>
      <c r="F7">
        <f>PROPER(TRIM('01_Raw_Data'!F7))</f>
        <v/>
      </c>
      <c r="G7">
        <f>PROPER(TRIM('01_Raw_Data'!G7))</f>
        <v/>
      </c>
      <c r="H7">
        <f>PROPER(TRIM('01_Raw_Data'!H7))</f>
        <v/>
      </c>
      <c r="I7">
        <f>'01_Raw_Data'!I7</f>
        <v/>
      </c>
      <c r="J7" s="9">
        <f>'01_Raw_Data'!J7</f>
        <v/>
      </c>
      <c r="K7" s="9">
        <f>IFERROR(I7*J7,0)</f>
        <v/>
      </c>
      <c r="L7">
        <f>YEAR(B7)</f>
        <v/>
      </c>
      <c r="M7">
        <f>TEXT(B7,"mmm")</f>
        <v/>
      </c>
      <c r="N7">
        <f>PROPER(TRIM(E7))</f>
        <v/>
      </c>
      <c r="O7">
        <f>PROPER(TRIM(C7))</f>
        <v/>
      </c>
      <c r="P7" s="9">
        <f>K7*IFERROR(XLOOKUP(D7,'03_Lookups'!$E$5:$E$6,'03_Lookups'!$F$5:$F$6),0)</f>
        <v/>
      </c>
      <c r="Q7" s="10">
        <f>IFERROR(P7/K7,0)</f>
        <v/>
      </c>
      <c r="R7">
        <f>IFS(K7&gt;=50000,"High",K7&gt;=20000,"Medium",TRUE,"Low")</f>
        <v/>
      </c>
    </row>
    <row r="8">
      <c r="A8">
        <f>'01_Raw_Data'!A8</f>
        <v/>
      </c>
      <c r="B8" s="8">
        <f>'01_Raw_Data'!B8</f>
        <v/>
      </c>
      <c r="C8">
        <f>PROPER(TRIM('01_Raw_Data'!C8))</f>
        <v/>
      </c>
      <c r="D8">
        <f>PROPER(TRIM('01_Raw_Data'!D8))</f>
        <v/>
      </c>
      <c r="E8">
        <f>PROPER(TRIM('01_Raw_Data'!E8))</f>
        <v/>
      </c>
      <c r="F8">
        <f>PROPER(TRIM('01_Raw_Data'!F8))</f>
        <v/>
      </c>
      <c r="G8">
        <f>PROPER(TRIM('01_Raw_Data'!G8))</f>
        <v/>
      </c>
      <c r="H8">
        <f>PROPER(TRIM('01_Raw_Data'!H8))</f>
        <v/>
      </c>
      <c r="I8">
        <f>'01_Raw_Data'!I8</f>
        <v/>
      </c>
      <c r="J8" s="9">
        <f>'01_Raw_Data'!J8</f>
        <v/>
      </c>
      <c r="K8" s="9">
        <f>IFERROR(I8*J8,0)</f>
        <v/>
      </c>
      <c r="L8">
        <f>YEAR(B8)</f>
        <v/>
      </c>
      <c r="M8">
        <f>TEXT(B8,"mmm")</f>
        <v/>
      </c>
      <c r="N8">
        <f>PROPER(TRIM(E8))</f>
        <v/>
      </c>
      <c r="O8">
        <f>PROPER(TRIM(C8))</f>
        <v/>
      </c>
      <c r="P8" s="9">
        <f>K8*IFERROR(XLOOKUP(D8,'03_Lookups'!$E$5:$E$6,'03_Lookups'!$F$5:$F$6),0)</f>
        <v/>
      </c>
      <c r="Q8" s="10">
        <f>IFERROR(P8/K8,0)</f>
        <v/>
      </c>
      <c r="R8">
        <f>IFS(K8&gt;=50000,"High",K8&gt;=20000,"Medium",TRUE,"Low")</f>
        <v/>
      </c>
    </row>
    <row r="9">
      <c r="A9">
        <f>'01_Raw_Data'!A9</f>
        <v/>
      </c>
      <c r="B9" s="8">
        <f>'01_Raw_Data'!B9</f>
        <v/>
      </c>
      <c r="C9">
        <f>PROPER(TRIM('01_Raw_Data'!C9))</f>
        <v/>
      </c>
      <c r="D9">
        <f>PROPER(TRIM('01_Raw_Data'!D9))</f>
        <v/>
      </c>
      <c r="E9">
        <f>PROPER(TRIM('01_Raw_Data'!E9))</f>
        <v/>
      </c>
      <c r="F9">
        <f>PROPER(TRIM('01_Raw_Data'!F9))</f>
        <v/>
      </c>
      <c r="G9">
        <f>PROPER(TRIM('01_Raw_Data'!G9))</f>
        <v/>
      </c>
      <c r="H9">
        <f>PROPER(TRIM('01_Raw_Data'!H9))</f>
        <v/>
      </c>
      <c r="I9">
        <f>'01_Raw_Data'!I9</f>
        <v/>
      </c>
      <c r="J9" s="9">
        <f>'01_Raw_Data'!J9</f>
        <v/>
      </c>
      <c r="K9" s="9">
        <f>IFERROR(I9*J9,0)</f>
        <v/>
      </c>
      <c r="L9">
        <f>YEAR(B9)</f>
        <v/>
      </c>
      <c r="M9">
        <f>TEXT(B9,"mmm")</f>
        <v/>
      </c>
      <c r="N9">
        <f>PROPER(TRIM(E9))</f>
        <v/>
      </c>
      <c r="O9">
        <f>PROPER(TRIM(C9))</f>
        <v/>
      </c>
      <c r="P9" s="9">
        <f>K9*IFERROR(XLOOKUP(D9,'03_Lookups'!$E$5:$E$6,'03_Lookups'!$F$5:$F$6),0)</f>
        <v/>
      </c>
      <c r="Q9" s="10">
        <f>IFERROR(P9/K9,0)</f>
        <v/>
      </c>
      <c r="R9">
        <f>IFS(K9&gt;=50000,"High",K9&gt;=20000,"Medium",TRUE,"Low")</f>
        <v/>
      </c>
    </row>
    <row r="10">
      <c r="A10">
        <f>'01_Raw_Data'!A10</f>
        <v/>
      </c>
      <c r="B10" s="8">
        <f>'01_Raw_Data'!B10</f>
        <v/>
      </c>
      <c r="C10">
        <f>PROPER(TRIM('01_Raw_Data'!C10))</f>
        <v/>
      </c>
      <c r="D10">
        <f>PROPER(TRIM('01_Raw_Data'!D10))</f>
        <v/>
      </c>
      <c r="E10">
        <f>PROPER(TRIM('01_Raw_Data'!E10))</f>
        <v/>
      </c>
      <c r="F10">
        <f>PROPER(TRIM('01_Raw_Data'!F10))</f>
        <v/>
      </c>
      <c r="G10">
        <f>PROPER(TRIM('01_Raw_Data'!G10))</f>
        <v/>
      </c>
      <c r="H10">
        <f>PROPER(TRIM('01_Raw_Data'!H10))</f>
        <v/>
      </c>
      <c r="I10">
        <f>'01_Raw_Data'!I10</f>
        <v/>
      </c>
      <c r="J10" s="9">
        <f>'01_Raw_Data'!J10</f>
        <v/>
      </c>
      <c r="K10" s="9">
        <f>IFERROR(I10*J10,0)</f>
        <v/>
      </c>
      <c r="L10">
        <f>YEAR(B10)</f>
        <v/>
      </c>
      <c r="M10">
        <f>TEXT(B10,"mmm")</f>
        <v/>
      </c>
      <c r="N10">
        <f>PROPER(TRIM(E10))</f>
        <v/>
      </c>
      <c r="O10">
        <f>PROPER(TRIM(C10))</f>
        <v/>
      </c>
      <c r="P10" s="9">
        <f>K10*IFERROR(XLOOKUP(D10,'03_Lookups'!$E$5:$E$6,'03_Lookups'!$F$5:$F$6),0)</f>
        <v/>
      </c>
      <c r="Q10" s="10">
        <f>IFERROR(P10/K10,0)</f>
        <v/>
      </c>
      <c r="R10">
        <f>IFS(K10&gt;=50000,"High",K10&gt;=20000,"Medium",TRUE,"Low")</f>
        <v/>
      </c>
    </row>
    <row r="11">
      <c r="A11">
        <f>'01_Raw_Data'!A11</f>
        <v/>
      </c>
      <c r="B11" s="8">
        <f>'01_Raw_Data'!B11</f>
        <v/>
      </c>
      <c r="C11">
        <f>PROPER(TRIM('01_Raw_Data'!C11))</f>
        <v/>
      </c>
      <c r="D11">
        <f>PROPER(TRIM('01_Raw_Data'!D11))</f>
        <v/>
      </c>
      <c r="E11">
        <f>PROPER(TRIM('01_Raw_Data'!E11))</f>
        <v/>
      </c>
      <c r="F11">
        <f>PROPER(TRIM('01_Raw_Data'!F11))</f>
        <v/>
      </c>
      <c r="G11">
        <f>PROPER(TRIM('01_Raw_Data'!G11))</f>
        <v/>
      </c>
      <c r="H11">
        <f>PROPER(TRIM('01_Raw_Data'!H11))</f>
        <v/>
      </c>
      <c r="I11">
        <f>'01_Raw_Data'!I11</f>
        <v/>
      </c>
      <c r="J11" s="9">
        <f>'01_Raw_Data'!J11</f>
        <v/>
      </c>
      <c r="K11" s="9">
        <f>IFERROR(I11*J11,0)</f>
        <v/>
      </c>
      <c r="L11">
        <f>YEAR(B11)</f>
        <v/>
      </c>
      <c r="M11">
        <f>TEXT(B11,"mmm")</f>
        <v/>
      </c>
      <c r="N11">
        <f>PROPER(TRIM(E11))</f>
        <v/>
      </c>
      <c r="O11">
        <f>PROPER(TRIM(C11))</f>
        <v/>
      </c>
      <c r="P11" s="9">
        <f>K11*IFERROR(XLOOKUP(D11,'03_Lookups'!$E$5:$E$6,'03_Lookups'!$F$5:$F$6),0)</f>
        <v/>
      </c>
      <c r="Q11" s="10">
        <f>IFERROR(P11/K11,0)</f>
        <v/>
      </c>
      <c r="R11">
        <f>IFS(K11&gt;=50000,"High",K11&gt;=20000,"Medium",TRUE,"Low")</f>
        <v/>
      </c>
    </row>
    <row r="12">
      <c r="A12">
        <f>'01_Raw_Data'!A12</f>
        <v/>
      </c>
      <c r="B12" s="8">
        <f>'01_Raw_Data'!B12</f>
        <v/>
      </c>
      <c r="C12">
        <f>PROPER(TRIM('01_Raw_Data'!C12))</f>
        <v/>
      </c>
      <c r="D12">
        <f>PROPER(TRIM('01_Raw_Data'!D12))</f>
        <v/>
      </c>
      <c r="E12">
        <f>PROPER(TRIM('01_Raw_Data'!E12))</f>
        <v/>
      </c>
      <c r="F12">
        <f>PROPER(TRIM('01_Raw_Data'!F12))</f>
        <v/>
      </c>
      <c r="G12">
        <f>PROPER(TRIM('01_Raw_Data'!G12))</f>
        <v/>
      </c>
      <c r="H12">
        <f>PROPER(TRIM('01_Raw_Data'!H12))</f>
        <v/>
      </c>
      <c r="I12">
        <f>'01_Raw_Data'!I12</f>
        <v/>
      </c>
      <c r="J12" s="9">
        <f>'01_Raw_Data'!J12</f>
        <v/>
      </c>
      <c r="K12" s="9">
        <f>IFERROR(I12*J12,0)</f>
        <v/>
      </c>
      <c r="L12">
        <f>YEAR(B12)</f>
        <v/>
      </c>
      <c r="M12">
        <f>TEXT(B12,"mmm")</f>
        <v/>
      </c>
      <c r="N12">
        <f>PROPER(TRIM(E12))</f>
        <v/>
      </c>
      <c r="O12">
        <f>PROPER(TRIM(C12))</f>
        <v/>
      </c>
      <c r="P12" s="9">
        <f>K12*IFERROR(XLOOKUP(D12,'03_Lookups'!$E$5:$E$6,'03_Lookups'!$F$5:$F$6),0)</f>
        <v/>
      </c>
      <c r="Q12" s="10">
        <f>IFERROR(P12/K12,0)</f>
        <v/>
      </c>
      <c r="R12">
        <f>IFS(K12&gt;=50000,"High",K12&gt;=20000,"Medium",TRUE,"Low")</f>
        <v/>
      </c>
    </row>
    <row r="13">
      <c r="A13">
        <f>'01_Raw_Data'!A13</f>
        <v/>
      </c>
      <c r="B13" s="8">
        <f>'01_Raw_Data'!B13</f>
        <v/>
      </c>
      <c r="C13">
        <f>PROPER(TRIM('01_Raw_Data'!C13))</f>
        <v/>
      </c>
      <c r="D13">
        <f>PROPER(TRIM('01_Raw_Data'!D13))</f>
        <v/>
      </c>
      <c r="E13">
        <f>PROPER(TRIM('01_Raw_Data'!E13))</f>
        <v/>
      </c>
      <c r="F13">
        <f>PROPER(TRIM('01_Raw_Data'!F13))</f>
        <v/>
      </c>
      <c r="G13">
        <f>PROPER(TRIM('01_Raw_Data'!G13))</f>
        <v/>
      </c>
      <c r="H13">
        <f>PROPER(TRIM('01_Raw_Data'!H13))</f>
        <v/>
      </c>
      <c r="I13">
        <f>'01_Raw_Data'!I13</f>
        <v/>
      </c>
      <c r="J13" s="9">
        <f>'01_Raw_Data'!J13</f>
        <v/>
      </c>
      <c r="K13" s="9">
        <f>IFERROR(I13*J13,0)</f>
        <v/>
      </c>
      <c r="L13">
        <f>YEAR(B13)</f>
        <v/>
      </c>
      <c r="M13">
        <f>TEXT(B13,"mmm")</f>
        <v/>
      </c>
      <c r="N13">
        <f>PROPER(TRIM(E13))</f>
        <v/>
      </c>
      <c r="O13">
        <f>PROPER(TRIM(C13))</f>
        <v/>
      </c>
      <c r="P13" s="9">
        <f>K13*IFERROR(XLOOKUP(D13,'03_Lookups'!$E$5:$E$6,'03_Lookups'!$F$5:$F$6),0)</f>
        <v/>
      </c>
      <c r="Q13" s="10">
        <f>IFERROR(P13/K13,0)</f>
        <v/>
      </c>
      <c r="R13">
        <f>IFS(K13&gt;=50000,"High",K13&gt;=20000,"Medium",TRUE,"Low")</f>
        <v/>
      </c>
    </row>
    <row r="14">
      <c r="A14">
        <f>'01_Raw_Data'!A14</f>
        <v/>
      </c>
      <c r="B14" s="8">
        <f>'01_Raw_Data'!B14</f>
        <v/>
      </c>
      <c r="C14">
        <f>PROPER(TRIM('01_Raw_Data'!C14))</f>
        <v/>
      </c>
      <c r="D14">
        <f>PROPER(TRIM('01_Raw_Data'!D14))</f>
        <v/>
      </c>
      <c r="E14">
        <f>PROPER(TRIM('01_Raw_Data'!E14))</f>
        <v/>
      </c>
      <c r="F14">
        <f>PROPER(TRIM('01_Raw_Data'!F14))</f>
        <v/>
      </c>
      <c r="G14">
        <f>PROPER(TRIM('01_Raw_Data'!G14))</f>
        <v/>
      </c>
      <c r="H14">
        <f>PROPER(TRIM('01_Raw_Data'!H14))</f>
        <v/>
      </c>
      <c r="I14">
        <f>'01_Raw_Data'!I14</f>
        <v/>
      </c>
      <c r="J14" s="9">
        <f>'01_Raw_Data'!J14</f>
        <v/>
      </c>
      <c r="K14" s="9">
        <f>IFERROR(I14*J14,0)</f>
        <v/>
      </c>
      <c r="L14">
        <f>YEAR(B14)</f>
        <v/>
      </c>
      <c r="M14">
        <f>TEXT(B14,"mmm")</f>
        <v/>
      </c>
      <c r="N14">
        <f>PROPER(TRIM(E14))</f>
        <v/>
      </c>
      <c r="O14">
        <f>PROPER(TRIM(C14))</f>
        <v/>
      </c>
      <c r="P14" s="9">
        <f>K14*IFERROR(XLOOKUP(D14,'03_Lookups'!$E$5:$E$6,'03_Lookups'!$F$5:$F$6),0)</f>
        <v/>
      </c>
      <c r="Q14" s="10">
        <f>IFERROR(P14/K14,0)</f>
        <v/>
      </c>
      <c r="R14">
        <f>IFS(K14&gt;=50000,"High",K14&gt;=20000,"Medium",TRUE,"Low")</f>
        <v/>
      </c>
    </row>
    <row r="15">
      <c r="A15">
        <f>'01_Raw_Data'!A15</f>
        <v/>
      </c>
      <c r="B15" s="8">
        <f>'01_Raw_Data'!B15</f>
        <v/>
      </c>
      <c r="C15">
        <f>PROPER(TRIM('01_Raw_Data'!C15))</f>
        <v/>
      </c>
      <c r="D15">
        <f>PROPER(TRIM('01_Raw_Data'!D15))</f>
        <v/>
      </c>
      <c r="E15">
        <f>PROPER(TRIM('01_Raw_Data'!E15))</f>
        <v/>
      </c>
      <c r="F15">
        <f>PROPER(TRIM('01_Raw_Data'!F15))</f>
        <v/>
      </c>
      <c r="G15">
        <f>PROPER(TRIM('01_Raw_Data'!G15))</f>
        <v/>
      </c>
      <c r="H15">
        <f>PROPER(TRIM('01_Raw_Data'!H15))</f>
        <v/>
      </c>
      <c r="I15">
        <f>'01_Raw_Data'!I15</f>
        <v/>
      </c>
      <c r="J15" s="9">
        <f>'01_Raw_Data'!J15</f>
        <v/>
      </c>
      <c r="K15" s="9">
        <f>IFERROR(I15*J15,0)</f>
        <v/>
      </c>
      <c r="L15">
        <f>YEAR(B15)</f>
        <v/>
      </c>
      <c r="M15">
        <f>TEXT(B15,"mmm")</f>
        <v/>
      </c>
      <c r="N15">
        <f>PROPER(TRIM(E15))</f>
        <v/>
      </c>
      <c r="O15">
        <f>PROPER(TRIM(C15))</f>
        <v/>
      </c>
      <c r="P15" s="9">
        <f>K15*IFERROR(XLOOKUP(D15,'03_Lookups'!$E$5:$E$6,'03_Lookups'!$F$5:$F$6),0)</f>
        <v/>
      </c>
      <c r="Q15" s="10">
        <f>IFERROR(P15/K15,0)</f>
        <v/>
      </c>
      <c r="R15">
        <f>IFS(K15&gt;=50000,"High",K15&gt;=20000,"Medium",TRUE,"Low")</f>
        <v/>
      </c>
    </row>
    <row r="16">
      <c r="A16">
        <f>'01_Raw_Data'!A16</f>
        <v/>
      </c>
      <c r="B16" s="8">
        <f>'01_Raw_Data'!B16</f>
        <v/>
      </c>
      <c r="C16">
        <f>PROPER(TRIM('01_Raw_Data'!C16))</f>
        <v/>
      </c>
      <c r="D16">
        <f>PROPER(TRIM('01_Raw_Data'!D16))</f>
        <v/>
      </c>
      <c r="E16">
        <f>PROPER(TRIM('01_Raw_Data'!E16))</f>
        <v/>
      </c>
      <c r="F16">
        <f>PROPER(TRIM('01_Raw_Data'!F16))</f>
        <v/>
      </c>
      <c r="G16">
        <f>PROPER(TRIM('01_Raw_Data'!G16))</f>
        <v/>
      </c>
      <c r="H16">
        <f>PROPER(TRIM('01_Raw_Data'!H16))</f>
        <v/>
      </c>
      <c r="I16">
        <f>'01_Raw_Data'!I16</f>
        <v/>
      </c>
      <c r="J16" s="9">
        <f>'01_Raw_Data'!J16</f>
        <v/>
      </c>
      <c r="K16" s="9">
        <f>IFERROR(I16*J16,0)</f>
        <v/>
      </c>
      <c r="L16">
        <f>YEAR(B16)</f>
        <v/>
      </c>
      <c r="M16">
        <f>TEXT(B16,"mmm")</f>
        <v/>
      </c>
      <c r="N16">
        <f>PROPER(TRIM(E16))</f>
        <v/>
      </c>
      <c r="O16">
        <f>PROPER(TRIM(C16))</f>
        <v/>
      </c>
      <c r="P16" s="9">
        <f>K16*IFERROR(XLOOKUP(D16,'03_Lookups'!$E$5:$E$6,'03_Lookups'!$F$5:$F$6),0)</f>
        <v/>
      </c>
      <c r="Q16" s="10">
        <f>IFERROR(P16/K16,0)</f>
        <v/>
      </c>
      <c r="R16">
        <f>IFS(K16&gt;=50000,"High",K16&gt;=20000,"Medium",TRUE,"Low")</f>
        <v/>
      </c>
    </row>
    <row r="17">
      <c r="A17">
        <f>'01_Raw_Data'!A17</f>
        <v/>
      </c>
      <c r="B17" s="8">
        <f>'01_Raw_Data'!B17</f>
        <v/>
      </c>
      <c r="C17">
        <f>PROPER(TRIM('01_Raw_Data'!C17))</f>
        <v/>
      </c>
      <c r="D17">
        <f>PROPER(TRIM('01_Raw_Data'!D17))</f>
        <v/>
      </c>
      <c r="E17">
        <f>PROPER(TRIM('01_Raw_Data'!E17))</f>
        <v/>
      </c>
      <c r="F17">
        <f>PROPER(TRIM('01_Raw_Data'!F17))</f>
        <v/>
      </c>
      <c r="G17">
        <f>PROPER(TRIM('01_Raw_Data'!G17))</f>
        <v/>
      </c>
      <c r="H17">
        <f>PROPER(TRIM('01_Raw_Data'!H17))</f>
        <v/>
      </c>
      <c r="I17">
        <f>'01_Raw_Data'!I17</f>
        <v/>
      </c>
      <c r="J17" s="9">
        <f>'01_Raw_Data'!J17</f>
        <v/>
      </c>
      <c r="K17" s="9">
        <f>IFERROR(I17*J17,0)</f>
        <v/>
      </c>
      <c r="L17">
        <f>YEAR(B17)</f>
        <v/>
      </c>
      <c r="M17">
        <f>TEXT(B17,"mmm")</f>
        <v/>
      </c>
      <c r="N17">
        <f>PROPER(TRIM(E17))</f>
        <v/>
      </c>
      <c r="O17">
        <f>PROPER(TRIM(C17))</f>
        <v/>
      </c>
      <c r="P17" s="9">
        <f>K17*IFERROR(XLOOKUP(D17,'03_Lookups'!$E$5:$E$6,'03_Lookups'!$F$5:$F$6),0)</f>
        <v/>
      </c>
      <c r="Q17" s="10">
        <f>IFERROR(P17/K17,0)</f>
        <v/>
      </c>
      <c r="R17">
        <f>IFS(K17&gt;=50000,"High",K17&gt;=20000,"Medium",TRUE,"Low")</f>
        <v/>
      </c>
    </row>
    <row r="18">
      <c r="A18">
        <f>'01_Raw_Data'!A18</f>
        <v/>
      </c>
      <c r="B18" s="8">
        <f>'01_Raw_Data'!B18</f>
        <v/>
      </c>
      <c r="C18">
        <f>PROPER(TRIM('01_Raw_Data'!C18))</f>
        <v/>
      </c>
      <c r="D18">
        <f>PROPER(TRIM('01_Raw_Data'!D18))</f>
        <v/>
      </c>
      <c r="E18">
        <f>PROPER(TRIM('01_Raw_Data'!E18))</f>
        <v/>
      </c>
      <c r="F18">
        <f>PROPER(TRIM('01_Raw_Data'!F18))</f>
        <v/>
      </c>
      <c r="G18">
        <f>PROPER(TRIM('01_Raw_Data'!G18))</f>
        <v/>
      </c>
      <c r="H18">
        <f>PROPER(TRIM('01_Raw_Data'!H18))</f>
        <v/>
      </c>
      <c r="I18">
        <f>'01_Raw_Data'!I18</f>
        <v/>
      </c>
      <c r="J18" s="9">
        <f>'01_Raw_Data'!J18</f>
        <v/>
      </c>
      <c r="K18" s="9">
        <f>IFERROR(I18*J18,0)</f>
        <v/>
      </c>
      <c r="L18">
        <f>YEAR(B18)</f>
        <v/>
      </c>
      <c r="M18">
        <f>TEXT(B18,"mmm")</f>
        <v/>
      </c>
      <c r="N18">
        <f>PROPER(TRIM(E18))</f>
        <v/>
      </c>
      <c r="O18">
        <f>PROPER(TRIM(C18))</f>
        <v/>
      </c>
      <c r="P18" s="9">
        <f>K18*IFERROR(XLOOKUP(D18,'03_Lookups'!$E$5:$E$6,'03_Lookups'!$F$5:$F$6),0)</f>
        <v/>
      </c>
      <c r="Q18" s="10">
        <f>IFERROR(P18/K18,0)</f>
        <v/>
      </c>
      <c r="R18">
        <f>IFS(K18&gt;=50000,"High",K18&gt;=20000,"Medium",TRUE,"Low")</f>
        <v/>
      </c>
    </row>
    <row r="19">
      <c r="A19">
        <f>'01_Raw_Data'!A19</f>
        <v/>
      </c>
      <c r="B19" s="8">
        <f>'01_Raw_Data'!B19</f>
        <v/>
      </c>
      <c r="C19">
        <f>PROPER(TRIM('01_Raw_Data'!C19))</f>
        <v/>
      </c>
      <c r="D19">
        <f>PROPER(TRIM('01_Raw_Data'!D19))</f>
        <v/>
      </c>
      <c r="E19">
        <f>PROPER(TRIM('01_Raw_Data'!E19))</f>
        <v/>
      </c>
      <c r="F19">
        <f>PROPER(TRIM('01_Raw_Data'!F19))</f>
        <v/>
      </c>
      <c r="G19">
        <f>PROPER(TRIM('01_Raw_Data'!G19))</f>
        <v/>
      </c>
      <c r="H19">
        <f>PROPER(TRIM('01_Raw_Data'!H19))</f>
        <v/>
      </c>
      <c r="I19">
        <f>'01_Raw_Data'!I19</f>
        <v/>
      </c>
      <c r="J19" s="9">
        <f>'01_Raw_Data'!J19</f>
        <v/>
      </c>
      <c r="K19" s="9">
        <f>IFERROR(I19*J19,0)</f>
        <v/>
      </c>
      <c r="L19">
        <f>YEAR(B19)</f>
        <v/>
      </c>
      <c r="M19">
        <f>TEXT(B19,"mmm")</f>
        <v/>
      </c>
      <c r="N19">
        <f>PROPER(TRIM(E19))</f>
        <v/>
      </c>
      <c r="O19">
        <f>PROPER(TRIM(C19))</f>
        <v/>
      </c>
      <c r="P19" s="9">
        <f>K19*IFERROR(XLOOKUP(D19,'03_Lookups'!$E$5:$E$6,'03_Lookups'!$F$5:$F$6),0)</f>
        <v/>
      </c>
      <c r="Q19" s="10">
        <f>IFERROR(P19/K19,0)</f>
        <v/>
      </c>
      <c r="R19">
        <f>IFS(K19&gt;=50000,"High",K19&gt;=20000,"Medium",TRUE,"Low")</f>
        <v/>
      </c>
    </row>
    <row r="20">
      <c r="A20">
        <f>'01_Raw_Data'!A20</f>
        <v/>
      </c>
      <c r="B20" s="8">
        <f>'01_Raw_Data'!B20</f>
        <v/>
      </c>
      <c r="C20">
        <f>PROPER(TRIM('01_Raw_Data'!C20))</f>
        <v/>
      </c>
      <c r="D20">
        <f>PROPER(TRIM('01_Raw_Data'!D20))</f>
        <v/>
      </c>
      <c r="E20">
        <f>PROPER(TRIM('01_Raw_Data'!E20))</f>
        <v/>
      </c>
      <c r="F20">
        <f>PROPER(TRIM('01_Raw_Data'!F20))</f>
        <v/>
      </c>
      <c r="G20">
        <f>PROPER(TRIM('01_Raw_Data'!G20))</f>
        <v/>
      </c>
      <c r="H20">
        <f>PROPER(TRIM('01_Raw_Data'!H20))</f>
        <v/>
      </c>
      <c r="I20">
        <f>'01_Raw_Data'!I20</f>
        <v/>
      </c>
      <c r="J20" s="9">
        <f>'01_Raw_Data'!J20</f>
        <v/>
      </c>
      <c r="K20" s="9">
        <f>IFERROR(I20*J20,0)</f>
        <v/>
      </c>
      <c r="L20">
        <f>YEAR(B20)</f>
        <v/>
      </c>
      <c r="M20">
        <f>TEXT(B20,"mmm")</f>
        <v/>
      </c>
      <c r="N20">
        <f>PROPER(TRIM(E20))</f>
        <v/>
      </c>
      <c r="O20">
        <f>PROPER(TRIM(C20))</f>
        <v/>
      </c>
      <c r="P20" s="9">
        <f>K20*IFERROR(XLOOKUP(D20,'03_Lookups'!$E$5:$E$6,'03_Lookups'!$F$5:$F$6),0)</f>
        <v/>
      </c>
      <c r="Q20" s="10">
        <f>IFERROR(P20/K20,0)</f>
        <v/>
      </c>
      <c r="R20">
        <f>IFS(K20&gt;=50000,"High",K20&gt;=20000,"Medium",TRUE,"Low")</f>
        <v/>
      </c>
    </row>
    <row r="21">
      <c r="A21">
        <f>'01_Raw_Data'!A21</f>
        <v/>
      </c>
      <c r="B21" s="8">
        <f>'01_Raw_Data'!B21</f>
        <v/>
      </c>
      <c r="C21">
        <f>PROPER(TRIM('01_Raw_Data'!C21))</f>
        <v/>
      </c>
      <c r="D21">
        <f>PROPER(TRIM('01_Raw_Data'!D21))</f>
        <v/>
      </c>
      <c r="E21">
        <f>PROPER(TRIM('01_Raw_Data'!E21))</f>
        <v/>
      </c>
      <c r="F21">
        <f>PROPER(TRIM('01_Raw_Data'!F21))</f>
        <v/>
      </c>
      <c r="G21">
        <f>PROPER(TRIM('01_Raw_Data'!G21))</f>
        <v/>
      </c>
      <c r="H21">
        <f>PROPER(TRIM('01_Raw_Data'!H21))</f>
        <v/>
      </c>
      <c r="I21">
        <f>'01_Raw_Data'!I21</f>
        <v/>
      </c>
      <c r="J21" s="9">
        <f>'01_Raw_Data'!J21</f>
        <v/>
      </c>
      <c r="K21" s="9">
        <f>IFERROR(I21*J21,0)</f>
        <v/>
      </c>
      <c r="L21">
        <f>YEAR(B21)</f>
        <v/>
      </c>
      <c r="M21">
        <f>TEXT(B21,"mmm")</f>
        <v/>
      </c>
      <c r="N21">
        <f>PROPER(TRIM(E21))</f>
        <v/>
      </c>
      <c r="O21">
        <f>PROPER(TRIM(C21))</f>
        <v/>
      </c>
      <c r="P21" s="9">
        <f>K21*IFERROR(XLOOKUP(D21,'03_Lookups'!$E$5:$E$6,'03_Lookups'!$F$5:$F$6),0)</f>
        <v/>
      </c>
      <c r="Q21" s="10">
        <f>IFERROR(P21/K21,0)</f>
        <v/>
      </c>
      <c r="R21">
        <f>IFS(K21&gt;=50000,"High",K21&gt;=20000,"Medium",TRUE,"Low")</f>
        <v/>
      </c>
    </row>
    <row r="22">
      <c r="A22">
        <f>'01_Raw_Data'!A22</f>
        <v/>
      </c>
      <c r="B22" s="8">
        <f>'01_Raw_Data'!B22</f>
        <v/>
      </c>
      <c r="C22">
        <f>PROPER(TRIM('01_Raw_Data'!C22))</f>
        <v/>
      </c>
      <c r="D22">
        <f>PROPER(TRIM('01_Raw_Data'!D22))</f>
        <v/>
      </c>
      <c r="E22">
        <f>PROPER(TRIM('01_Raw_Data'!E22))</f>
        <v/>
      </c>
      <c r="F22">
        <f>PROPER(TRIM('01_Raw_Data'!F22))</f>
        <v/>
      </c>
      <c r="G22">
        <f>PROPER(TRIM('01_Raw_Data'!G22))</f>
        <v/>
      </c>
      <c r="H22">
        <f>PROPER(TRIM('01_Raw_Data'!H22))</f>
        <v/>
      </c>
      <c r="I22">
        <f>'01_Raw_Data'!I22</f>
        <v/>
      </c>
      <c r="J22" s="9">
        <f>'01_Raw_Data'!J22</f>
        <v/>
      </c>
      <c r="K22" s="9">
        <f>IFERROR(I22*J22,0)</f>
        <v/>
      </c>
      <c r="L22">
        <f>YEAR(B22)</f>
        <v/>
      </c>
      <c r="M22">
        <f>TEXT(B22,"mmm")</f>
        <v/>
      </c>
      <c r="N22">
        <f>PROPER(TRIM(E22))</f>
        <v/>
      </c>
      <c r="O22">
        <f>PROPER(TRIM(C22))</f>
        <v/>
      </c>
      <c r="P22" s="9">
        <f>K22*IFERROR(XLOOKUP(D22,'03_Lookups'!$E$5:$E$6,'03_Lookups'!$F$5:$F$6),0)</f>
        <v/>
      </c>
      <c r="Q22" s="10">
        <f>IFERROR(P22/K22,0)</f>
        <v/>
      </c>
      <c r="R22">
        <f>IFS(K22&gt;=50000,"High",K22&gt;=20000,"Medium",TRUE,"Low")</f>
        <v/>
      </c>
    </row>
    <row r="23">
      <c r="A23">
        <f>'01_Raw_Data'!A23</f>
        <v/>
      </c>
      <c r="B23" s="8">
        <f>'01_Raw_Data'!B23</f>
        <v/>
      </c>
      <c r="C23">
        <f>PROPER(TRIM('01_Raw_Data'!C23))</f>
        <v/>
      </c>
      <c r="D23">
        <f>PROPER(TRIM('01_Raw_Data'!D23))</f>
        <v/>
      </c>
      <c r="E23">
        <f>PROPER(TRIM('01_Raw_Data'!E23))</f>
        <v/>
      </c>
      <c r="F23">
        <f>PROPER(TRIM('01_Raw_Data'!F23))</f>
        <v/>
      </c>
      <c r="G23">
        <f>PROPER(TRIM('01_Raw_Data'!G23))</f>
        <v/>
      </c>
      <c r="H23">
        <f>PROPER(TRIM('01_Raw_Data'!H23))</f>
        <v/>
      </c>
      <c r="I23">
        <f>'01_Raw_Data'!I23</f>
        <v/>
      </c>
      <c r="J23" s="9">
        <f>'01_Raw_Data'!J23</f>
        <v/>
      </c>
      <c r="K23" s="9">
        <f>IFERROR(I23*J23,0)</f>
        <v/>
      </c>
      <c r="L23">
        <f>YEAR(B23)</f>
        <v/>
      </c>
      <c r="M23">
        <f>TEXT(B23,"mmm")</f>
        <v/>
      </c>
      <c r="N23">
        <f>PROPER(TRIM(E23))</f>
        <v/>
      </c>
      <c r="O23">
        <f>PROPER(TRIM(C23))</f>
        <v/>
      </c>
      <c r="P23" s="9">
        <f>K23*IFERROR(XLOOKUP(D23,'03_Lookups'!$E$5:$E$6,'03_Lookups'!$F$5:$F$6),0)</f>
        <v/>
      </c>
      <c r="Q23" s="10">
        <f>IFERROR(P23/K23,0)</f>
        <v/>
      </c>
      <c r="R23">
        <f>IFS(K23&gt;=50000,"High",K23&gt;=20000,"Medium",TRUE,"Low")</f>
        <v/>
      </c>
    </row>
    <row r="24">
      <c r="A24">
        <f>'01_Raw_Data'!A24</f>
        <v/>
      </c>
      <c r="B24" s="8">
        <f>'01_Raw_Data'!B24</f>
        <v/>
      </c>
      <c r="C24">
        <f>PROPER(TRIM('01_Raw_Data'!C24))</f>
        <v/>
      </c>
      <c r="D24">
        <f>PROPER(TRIM('01_Raw_Data'!D24))</f>
        <v/>
      </c>
      <c r="E24">
        <f>PROPER(TRIM('01_Raw_Data'!E24))</f>
        <v/>
      </c>
      <c r="F24">
        <f>PROPER(TRIM('01_Raw_Data'!F24))</f>
        <v/>
      </c>
      <c r="G24">
        <f>PROPER(TRIM('01_Raw_Data'!G24))</f>
        <v/>
      </c>
      <c r="H24">
        <f>PROPER(TRIM('01_Raw_Data'!H24))</f>
        <v/>
      </c>
      <c r="I24">
        <f>'01_Raw_Data'!I24</f>
        <v/>
      </c>
      <c r="J24" s="9">
        <f>'01_Raw_Data'!J24</f>
        <v/>
      </c>
      <c r="K24" s="9">
        <f>IFERROR(I24*J24,0)</f>
        <v/>
      </c>
      <c r="L24">
        <f>YEAR(B24)</f>
        <v/>
      </c>
      <c r="M24">
        <f>TEXT(B24,"mmm")</f>
        <v/>
      </c>
      <c r="N24">
        <f>PROPER(TRIM(E24))</f>
        <v/>
      </c>
      <c r="O24">
        <f>PROPER(TRIM(C24))</f>
        <v/>
      </c>
      <c r="P24" s="9">
        <f>K24*IFERROR(XLOOKUP(D24,'03_Lookups'!$E$5:$E$6,'03_Lookups'!$F$5:$F$6),0)</f>
        <v/>
      </c>
      <c r="Q24" s="10">
        <f>IFERROR(P24/K24,0)</f>
        <v/>
      </c>
      <c r="R24">
        <f>IFS(K24&gt;=50000,"High",K24&gt;=20000,"Medium",TRUE,"Low")</f>
        <v/>
      </c>
    </row>
    <row r="25">
      <c r="A25">
        <f>'01_Raw_Data'!A25</f>
        <v/>
      </c>
      <c r="B25" s="8">
        <f>'01_Raw_Data'!B25</f>
        <v/>
      </c>
      <c r="C25">
        <f>PROPER(TRIM('01_Raw_Data'!C25))</f>
        <v/>
      </c>
      <c r="D25">
        <f>PROPER(TRIM('01_Raw_Data'!D25))</f>
        <v/>
      </c>
      <c r="E25">
        <f>PROPER(TRIM('01_Raw_Data'!E25))</f>
        <v/>
      </c>
      <c r="F25">
        <f>PROPER(TRIM('01_Raw_Data'!F25))</f>
        <v/>
      </c>
      <c r="G25">
        <f>PROPER(TRIM('01_Raw_Data'!G25))</f>
        <v/>
      </c>
      <c r="H25">
        <f>PROPER(TRIM('01_Raw_Data'!H25))</f>
        <v/>
      </c>
      <c r="I25">
        <f>'01_Raw_Data'!I25</f>
        <v/>
      </c>
      <c r="J25" s="9">
        <f>'01_Raw_Data'!J25</f>
        <v/>
      </c>
      <c r="K25" s="9">
        <f>IFERROR(I25*J25,0)</f>
        <v/>
      </c>
      <c r="L25">
        <f>YEAR(B25)</f>
        <v/>
      </c>
      <c r="M25">
        <f>TEXT(B25,"mmm")</f>
        <v/>
      </c>
      <c r="N25">
        <f>PROPER(TRIM(E25))</f>
        <v/>
      </c>
      <c r="O25">
        <f>PROPER(TRIM(C25))</f>
        <v/>
      </c>
      <c r="P25" s="9">
        <f>K25*IFERROR(XLOOKUP(D25,'03_Lookups'!$E$5:$E$6,'03_Lookups'!$F$5:$F$6),0)</f>
        <v/>
      </c>
      <c r="Q25" s="10">
        <f>IFERROR(P25/K25,0)</f>
        <v/>
      </c>
      <c r="R25">
        <f>IFS(K25&gt;=50000,"High",K25&gt;=20000,"Medium",TRUE,"Low")</f>
        <v/>
      </c>
    </row>
    <row r="26">
      <c r="A26">
        <f>'01_Raw_Data'!A26</f>
        <v/>
      </c>
      <c r="B26" s="8">
        <f>'01_Raw_Data'!B26</f>
        <v/>
      </c>
      <c r="C26">
        <f>PROPER(TRIM('01_Raw_Data'!C26))</f>
        <v/>
      </c>
      <c r="D26">
        <f>PROPER(TRIM('01_Raw_Data'!D26))</f>
        <v/>
      </c>
      <c r="E26">
        <f>PROPER(TRIM('01_Raw_Data'!E26))</f>
        <v/>
      </c>
      <c r="F26">
        <f>PROPER(TRIM('01_Raw_Data'!F26))</f>
        <v/>
      </c>
      <c r="G26">
        <f>PROPER(TRIM('01_Raw_Data'!G26))</f>
        <v/>
      </c>
      <c r="H26">
        <f>PROPER(TRIM('01_Raw_Data'!H26))</f>
        <v/>
      </c>
      <c r="I26">
        <f>'01_Raw_Data'!I26</f>
        <v/>
      </c>
      <c r="J26" s="9">
        <f>'01_Raw_Data'!J26</f>
        <v/>
      </c>
      <c r="K26" s="9">
        <f>IFERROR(I26*J26,0)</f>
        <v/>
      </c>
      <c r="L26">
        <f>YEAR(B26)</f>
        <v/>
      </c>
      <c r="M26">
        <f>TEXT(B26,"mmm")</f>
        <v/>
      </c>
      <c r="N26">
        <f>PROPER(TRIM(E26))</f>
        <v/>
      </c>
      <c r="O26">
        <f>PROPER(TRIM(C26))</f>
        <v/>
      </c>
      <c r="P26" s="9">
        <f>K26*IFERROR(XLOOKUP(D26,'03_Lookups'!$E$5:$E$6,'03_Lookups'!$F$5:$F$6),0)</f>
        <v/>
      </c>
      <c r="Q26" s="10">
        <f>IFERROR(P26/K26,0)</f>
        <v/>
      </c>
      <c r="R26">
        <f>IFS(K26&gt;=50000,"High",K26&gt;=20000,"Medium",TRUE,"Low")</f>
        <v/>
      </c>
    </row>
    <row r="27">
      <c r="A27">
        <f>'01_Raw_Data'!A27</f>
        <v/>
      </c>
      <c r="B27" s="8">
        <f>'01_Raw_Data'!B27</f>
        <v/>
      </c>
      <c r="C27">
        <f>PROPER(TRIM('01_Raw_Data'!C27))</f>
        <v/>
      </c>
      <c r="D27">
        <f>PROPER(TRIM('01_Raw_Data'!D27))</f>
        <v/>
      </c>
      <c r="E27">
        <f>PROPER(TRIM('01_Raw_Data'!E27))</f>
        <v/>
      </c>
      <c r="F27">
        <f>PROPER(TRIM('01_Raw_Data'!F27))</f>
        <v/>
      </c>
      <c r="G27">
        <f>PROPER(TRIM('01_Raw_Data'!G27))</f>
        <v/>
      </c>
      <c r="H27">
        <f>PROPER(TRIM('01_Raw_Data'!H27))</f>
        <v/>
      </c>
      <c r="I27">
        <f>'01_Raw_Data'!I27</f>
        <v/>
      </c>
      <c r="J27" s="9">
        <f>'01_Raw_Data'!J27</f>
        <v/>
      </c>
      <c r="K27" s="9">
        <f>IFERROR(I27*J27,0)</f>
        <v/>
      </c>
      <c r="L27">
        <f>YEAR(B27)</f>
        <v/>
      </c>
      <c r="M27">
        <f>TEXT(B27,"mmm")</f>
        <v/>
      </c>
      <c r="N27">
        <f>PROPER(TRIM(E27))</f>
        <v/>
      </c>
      <c r="O27">
        <f>PROPER(TRIM(C27))</f>
        <v/>
      </c>
      <c r="P27" s="9">
        <f>K27*IFERROR(XLOOKUP(D27,'03_Lookups'!$E$5:$E$6,'03_Lookups'!$F$5:$F$6),0)</f>
        <v/>
      </c>
      <c r="Q27" s="10">
        <f>IFERROR(P27/K27,0)</f>
        <v/>
      </c>
      <c r="R27">
        <f>IFS(K27&gt;=50000,"High",K27&gt;=20000,"Medium",TRUE,"Low")</f>
        <v/>
      </c>
    </row>
    <row r="28">
      <c r="A28">
        <f>'01_Raw_Data'!A28</f>
        <v/>
      </c>
      <c r="B28" s="8">
        <f>'01_Raw_Data'!B28</f>
        <v/>
      </c>
      <c r="C28">
        <f>PROPER(TRIM('01_Raw_Data'!C28))</f>
        <v/>
      </c>
      <c r="D28">
        <f>PROPER(TRIM('01_Raw_Data'!D28))</f>
        <v/>
      </c>
      <c r="E28">
        <f>PROPER(TRIM('01_Raw_Data'!E28))</f>
        <v/>
      </c>
      <c r="F28">
        <f>PROPER(TRIM('01_Raw_Data'!F28))</f>
        <v/>
      </c>
      <c r="G28">
        <f>PROPER(TRIM('01_Raw_Data'!G28))</f>
        <v/>
      </c>
      <c r="H28">
        <f>PROPER(TRIM('01_Raw_Data'!H28))</f>
        <v/>
      </c>
      <c r="I28">
        <f>'01_Raw_Data'!I28</f>
        <v/>
      </c>
      <c r="J28" s="9">
        <f>'01_Raw_Data'!J28</f>
        <v/>
      </c>
      <c r="K28" s="9">
        <f>IFERROR(I28*J28,0)</f>
        <v/>
      </c>
      <c r="L28">
        <f>YEAR(B28)</f>
        <v/>
      </c>
      <c r="M28">
        <f>TEXT(B28,"mmm")</f>
        <v/>
      </c>
      <c r="N28">
        <f>PROPER(TRIM(E28))</f>
        <v/>
      </c>
      <c r="O28">
        <f>PROPER(TRIM(C28))</f>
        <v/>
      </c>
      <c r="P28" s="9">
        <f>K28*IFERROR(XLOOKUP(D28,'03_Lookups'!$E$5:$E$6,'03_Lookups'!$F$5:$F$6),0)</f>
        <v/>
      </c>
      <c r="Q28" s="10">
        <f>IFERROR(P28/K28,0)</f>
        <v/>
      </c>
      <c r="R28">
        <f>IFS(K28&gt;=50000,"High",K28&gt;=20000,"Medium",TRUE,"Low")</f>
        <v/>
      </c>
    </row>
    <row r="29">
      <c r="A29">
        <f>'01_Raw_Data'!A29</f>
        <v/>
      </c>
      <c r="B29" s="8">
        <f>'01_Raw_Data'!B29</f>
        <v/>
      </c>
      <c r="C29">
        <f>PROPER(TRIM('01_Raw_Data'!C29))</f>
        <v/>
      </c>
      <c r="D29">
        <f>PROPER(TRIM('01_Raw_Data'!D29))</f>
        <v/>
      </c>
      <c r="E29">
        <f>PROPER(TRIM('01_Raw_Data'!E29))</f>
        <v/>
      </c>
      <c r="F29">
        <f>PROPER(TRIM('01_Raw_Data'!F29))</f>
        <v/>
      </c>
      <c r="G29">
        <f>PROPER(TRIM('01_Raw_Data'!G29))</f>
        <v/>
      </c>
      <c r="H29">
        <f>PROPER(TRIM('01_Raw_Data'!H29))</f>
        <v/>
      </c>
      <c r="I29">
        <f>'01_Raw_Data'!I29</f>
        <v/>
      </c>
      <c r="J29" s="9">
        <f>'01_Raw_Data'!J29</f>
        <v/>
      </c>
      <c r="K29" s="9">
        <f>IFERROR(I29*J29,0)</f>
        <v/>
      </c>
      <c r="L29">
        <f>YEAR(B29)</f>
        <v/>
      </c>
      <c r="M29">
        <f>TEXT(B29,"mmm")</f>
        <v/>
      </c>
      <c r="N29">
        <f>PROPER(TRIM(E29))</f>
        <v/>
      </c>
      <c r="O29">
        <f>PROPER(TRIM(C29))</f>
        <v/>
      </c>
      <c r="P29" s="9">
        <f>K29*IFERROR(XLOOKUP(D29,'03_Lookups'!$E$5:$E$6,'03_Lookups'!$F$5:$F$6),0)</f>
        <v/>
      </c>
      <c r="Q29" s="10">
        <f>IFERROR(P29/K29,0)</f>
        <v/>
      </c>
      <c r="R29">
        <f>IFS(K29&gt;=50000,"High",K29&gt;=20000,"Medium",TRUE,"Low")</f>
        <v/>
      </c>
    </row>
    <row r="30">
      <c r="A30">
        <f>'01_Raw_Data'!A30</f>
        <v/>
      </c>
      <c r="B30" s="8">
        <f>'01_Raw_Data'!B30</f>
        <v/>
      </c>
      <c r="C30">
        <f>PROPER(TRIM('01_Raw_Data'!C30))</f>
        <v/>
      </c>
      <c r="D30">
        <f>PROPER(TRIM('01_Raw_Data'!D30))</f>
        <v/>
      </c>
      <c r="E30">
        <f>PROPER(TRIM('01_Raw_Data'!E30))</f>
        <v/>
      </c>
      <c r="F30">
        <f>PROPER(TRIM('01_Raw_Data'!F30))</f>
        <v/>
      </c>
      <c r="G30">
        <f>PROPER(TRIM('01_Raw_Data'!G30))</f>
        <v/>
      </c>
      <c r="H30">
        <f>PROPER(TRIM('01_Raw_Data'!H30))</f>
        <v/>
      </c>
      <c r="I30">
        <f>'01_Raw_Data'!I30</f>
        <v/>
      </c>
      <c r="J30" s="9">
        <f>'01_Raw_Data'!J30</f>
        <v/>
      </c>
      <c r="K30" s="9">
        <f>IFERROR(I30*J30,0)</f>
        <v/>
      </c>
      <c r="L30">
        <f>YEAR(B30)</f>
        <v/>
      </c>
      <c r="M30">
        <f>TEXT(B30,"mmm")</f>
        <v/>
      </c>
      <c r="N30">
        <f>PROPER(TRIM(E30))</f>
        <v/>
      </c>
      <c r="O30">
        <f>PROPER(TRIM(C30))</f>
        <v/>
      </c>
      <c r="P30" s="9">
        <f>K30*IFERROR(XLOOKUP(D30,'03_Lookups'!$E$5:$E$6,'03_Lookups'!$F$5:$F$6),0)</f>
        <v/>
      </c>
      <c r="Q30" s="10">
        <f>IFERROR(P30/K30,0)</f>
        <v/>
      </c>
      <c r="R30">
        <f>IFS(K30&gt;=50000,"High",K30&gt;=20000,"Medium",TRUE,"Low")</f>
        <v/>
      </c>
    </row>
    <row r="31">
      <c r="A31">
        <f>'01_Raw_Data'!A31</f>
        <v/>
      </c>
      <c r="B31" s="8">
        <f>'01_Raw_Data'!B31</f>
        <v/>
      </c>
      <c r="C31">
        <f>PROPER(TRIM('01_Raw_Data'!C31))</f>
        <v/>
      </c>
      <c r="D31">
        <f>PROPER(TRIM('01_Raw_Data'!D31))</f>
        <v/>
      </c>
      <c r="E31">
        <f>PROPER(TRIM('01_Raw_Data'!E31))</f>
        <v/>
      </c>
      <c r="F31">
        <f>PROPER(TRIM('01_Raw_Data'!F31))</f>
        <v/>
      </c>
      <c r="G31">
        <f>PROPER(TRIM('01_Raw_Data'!G31))</f>
        <v/>
      </c>
      <c r="H31">
        <f>PROPER(TRIM('01_Raw_Data'!H31))</f>
        <v/>
      </c>
      <c r="I31">
        <f>'01_Raw_Data'!I31</f>
        <v/>
      </c>
      <c r="J31" s="9">
        <f>'01_Raw_Data'!J31</f>
        <v/>
      </c>
      <c r="K31" s="9">
        <f>IFERROR(I31*J31,0)</f>
        <v/>
      </c>
      <c r="L31">
        <f>YEAR(B31)</f>
        <v/>
      </c>
      <c r="M31">
        <f>TEXT(B31,"mmm")</f>
        <v/>
      </c>
      <c r="N31">
        <f>PROPER(TRIM(E31))</f>
        <v/>
      </c>
      <c r="O31">
        <f>PROPER(TRIM(C31))</f>
        <v/>
      </c>
      <c r="P31" s="9">
        <f>K31*IFERROR(XLOOKUP(D31,'03_Lookups'!$E$5:$E$6,'03_Lookups'!$F$5:$F$6),0)</f>
        <v/>
      </c>
      <c r="Q31" s="10">
        <f>IFERROR(P31/K31,0)</f>
        <v/>
      </c>
      <c r="R31">
        <f>IFS(K31&gt;=50000,"High",K31&gt;=20000,"Medium",TRUE,"Low")</f>
        <v/>
      </c>
    </row>
    <row r="32">
      <c r="A32">
        <f>'01_Raw_Data'!A32</f>
        <v/>
      </c>
      <c r="B32" s="8">
        <f>'01_Raw_Data'!B32</f>
        <v/>
      </c>
      <c r="C32">
        <f>PROPER(TRIM('01_Raw_Data'!C32))</f>
        <v/>
      </c>
      <c r="D32">
        <f>PROPER(TRIM('01_Raw_Data'!D32))</f>
        <v/>
      </c>
      <c r="E32">
        <f>PROPER(TRIM('01_Raw_Data'!E32))</f>
        <v/>
      </c>
      <c r="F32">
        <f>PROPER(TRIM('01_Raw_Data'!F32))</f>
        <v/>
      </c>
      <c r="G32">
        <f>PROPER(TRIM('01_Raw_Data'!G32))</f>
        <v/>
      </c>
      <c r="H32">
        <f>PROPER(TRIM('01_Raw_Data'!H32))</f>
        <v/>
      </c>
      <c r="I32">
        <f>'01_Raw_Data'!I32</f>
        <v/>
      </c>
      <c r="J32" s="9">
        <f>'01_Raw_Data'!J32</f>
        <v/>
      </c>
      <c r="K32" s="9">
        <f>IFERROR(I32*J32,0)</f>
        <v/>
      </c>
      <c r="L32">
        <f>YEAR(B32)</f>
        <v/>
      </c>
      <c r="M32">
        <f>TEXT(B32,"mmm")</f>
        <v/>
      </c>
      <c r="N32">
        <f>PROPER(TRIM(E32))</f>
        <v/>
      </c>
      <c r="O32">
        <f>PROPER(TRIM(C32))</f>
        <v/>
      </c>
      <c r="P32" s="9">
        <f>K32*IFERROR(XLOOKUP(D32,'03_Lookups'!$E$5:$E$6,'03_Lookups'!$F$5:$F$6),0)</f>
        <v/>
      </c>
      <c r="Q32" s="10">
        <f>IFERROR(P32/K32,0)</f>
        <v/>
      </c>
      <c r="R32">
        <f>IFS(K32&gt;=50000,"High",K32&gt;=20000,"Medium",TRUE,"Low")</f>
        <v/>
      </c>
    </row>
    <row r="33">
      <c r="A33">
        <f>'01_Raw_Data'!A33</f>
        <v/>
      </c>
      <c r="B33" s="8">
        <f>'01_Raw_Data'!B33</f>
        <v/>
      </c>
      <c r="C33">
        <f>PROPER(TRIM('01_Raw_Data'!C33))</f>
        <v/>
      </c>
      <c r="D33">
        <f>PROPER(TRIM('01_Raw_Data'!D33))</f>
        <v/>
      </c>
      <c r="E33">
        <f>PROPER(TRIM('01_Raw_Data'!E33))</f>
        <v/>
      </c>
      <c r="F33">
        <f>PROPER(TRIM('01_Raw_Data'!F33))</f>
        <v/>
      </c>
      <c r="G33">
        <f>PROPER(TRIM('01_Raw_Data'!G33))</f>
        <v/>
      </c>
      <c r="H33">
        <f>PROPER(TRIM('01_Raw_Data'!H33))</f>
        <v/>
      </c>
      <c r="I33">
        <f>'01_Raw_Data'!I33</f>
        <v/>
      </c>
      <c r="J33" s="9">
        <f>'01_Raw_Data'!J33</f>
        <v/>
      </c>
      <c r="K33" s="9">
        <f>IFERROR(I33*J33,0)</f>
        <v/>
      </c>
      <c r="L33">
        <f>YEAR(B33)</f>
        <v/>
      </c>
      <c r="M33">
        <f>TEXT(B33,"mmm")</f>
        <v/>
      </c>
      <c r="N33">
        <f>PROPER(TRIM(E33))</f>
        <v/>
      </c>
      <c r="O33">
        <f>PROPER(TRIM(C33))</f>
        <v/>
      </c>
      <c r="P33" s="9">
        <f>K33*IFERROR(XLOOKUP(D33,'03_Lookups'!$E$5:$E$6,'03_Lookups'!$F$5:$F$6),0)</f>
        <v/>
      </c>
      <c r="Q33" s="10">
        <f>IFERROR(P33/K33,0)</f>
        <v/>
      </c>
      <c r="R33">
        <f>IFS(K33&gt;=50000,"High",K33&gt;=20000,"Medium",TRUE,"Low")</f>
        <v/>
      </c>
    </row>
    <row r="34">
      <c r="A34">
        <f>'01_Raw_Data'!A34</f>
        <v/>
      </c>
      <c r="B34" s="8">
        <f>'01_Raw_Data'!B34</f>
        <v/>
      </c>
      <c r="C34">
        <f>PROPER(TRIM('01_Raw_Data'!C34))</f>
        <v/>
      </c>
      <c r="D34">
        <f>PROPER(TRIM('01_Raw_Data'!D34))</f>
        <v/>
      </c>
      <c r="E34">
        <f>PROPER(TRIM('01_Raw_Data'!E34))</f>
        <v/>
      </c>
      <c r="F34">
        <f>PROPER(TRIM('01_Raw_Data'!F34))</f>
        <v/>
      </c>
      <c r="G34">
        <f>PROPER(TRIM('01_Raw_Data'!G34))</f>
        <v/>
      </c>
      <c r="H34">
        <f>PROPER(TRIM('01_Raw_Data'!H34))</f>
        <v/>
      </c>
      <c r="I34">
        <f>'01_Raw_Data'!I34</f>
        <v/>
      </c>
      <c r="J34" s="9">
        <f>'01_Raw_Data'!J34</f>
        <v/>
      </c>
      <c r="K34" s="9">
        <f>IFERROR(I34*J34,0)</f>
        <v/>
      </c>
      <c r="L34">
        <f>YEAR(B34)</f>
        <v/>
      </c>
      <c r="M34">
        <f>TEXT(B34,"mmm")</f>
        <v/>
      </c>
      <c r="N34">
        <f>PROPER(TRIM(E34))</f>
        <v/>
      </c>
      <c r="O34">
        <f>PROPER(TRIM(C34))</f>
        <v/>
      </c>
      <c r="P34" s="9">
        <f>K34*IFERROR(XLOOKUP(D34,'03_Lookups'!$E$5:$E$6,'03_Lookups'!$F$5:$F$6),0)</f>
        <v/>
      </c>
      <c r="Q34" s="10">
        <f>IFERROR(P34/K34,0)</f>
        <v/>
      </c>
      <c r="R34">
        <f>IFS(K34&gt;=50000,"High",K34&gt;=20000,"Medium",TRUE,"Low")</f>
        <v/>
      </c>
    </row>
    <row r="35">
      <c r="A35">
        <f>'01_Raw_Data'!A35</f>
        <v/>
      </c>
      <c r="B35" s="8">
        <f>'01_Raw_Data'!B35</f>
        <v/>
      </c>
      <c r="C35">
        <f>PROPER(TRIM('01_Raw_Data'!C35))</f>
        <v/>
      </c>
      <c r="D35">
        <f>PROPER(TRIM('01_Raw_Data'!D35))</f>
        <v/>
      </c>
      <c r="E35">
        <f>PROPER(TRIM('01_Raw_Data'!E35))</f>
        <v/>
      </c>
      <c r="F35">
        <f>PROPER(TRIM('01_Raw_Data'!F35))</f>
        <v/>
      </c>
      <c r="G35">
        <f>PROPER(TRIM('01_Raw_Data'!G35))</f>
        <v/>
      </c>
      <c r="H35">
        <f>PROPER(TRIM('01_Raw_Data'!H35))</f>
        <v/>
      </c>
      <c r="I35">
        <f>'01_Raw_Data'!I35</f>
        <v/>
      </c>
      <c r="J35" s="9">
        <f>'01_Raw_Data'!J35</f>
        <v/>
      </c>
      <c r="K35" s="9">
        <f>IFERROR(I35*J35,0)</f>
        <v/>
      </c>
      <c r="L35">
        <f>YEAR(B35)</f>
        <v/>
      </c>
      <c r="M35">
        <f>TEXT(B35,"mmm")</f>
        <v/>
      </c>
      <c r="N35">
        <f>PROPER(TRIM(E35))</f>
        <v/>
      </c>
      <c r="O35">
        <f>PROPER(TRIM(C35))</f>
        <v/>
      </c>
      <c r="P35" s="9">
        <f>K35*IFERROR(XLOOKUP(D35,'03_Lookups'!$E$5:$E$6,'03_Lookups'!$F$5:$F$6),0)</f>
        <v/>
      </c>
      <c r="Q35" s="10">
        <f>IFERROR(P35/K35,0)</f>
        <v/>
      </c>
      <c r="R35">
        <f>IFS(K35&gt;=50000,"High",K35&gt;=20000,"Medium",TRUE,"Low")</f>
        <v/>
      </c>
    </row>
    <row r="36">
      <c r="A36">
        <f>'01_Raw_Data'!A36</f>
        <v/>
      </c>
      <c r="B36" s="8">
        <f>'01_Raw_Data'!B36</f>
        <v/>
      </c>
      <c r="C36">
        <f>PROPER(TRIM('01_Raw_Data'!C36))</f>
        <v/>
      </c>
      <c r="D36">
        <f>PROPER(TRIM('01_Raw_Data'!D36))</f>
        <v/>
      </c>
      <c r="E36">
        <f>PROPER(TRIM('01_Raw_Data'!E36))</f>
        <v/>
      </c>
      <c r="F36">
        <f>PROPER(TRIM('01_Raw_Data'!F36))</f>
        <v/>
      </c>
      <c r="G36">
        <f>PROPER(TRIM('01_Raw_Data'!G36))</f>
        <v/>
      </c>
      <c r="H36">
        <f>PROPER(TRIM('01_Raw_Data'!H36))</f>
        <v/>
      </c>
      <c r="I36">
        <f>'01_Raw_Data'!I36</f>
        <v/>
      </c>
      <c r="J36" s="9">
        <f>'01_Raw_Data'!J36</f>
        <v/>
      </c>
      <c r="K36" s="9">
        <f>IFERROR(I36*J36,0)</f>
        <v/>
      </c>
      <c r="L36">
        <f>YEAR(B36)</f>
        <v/>
      </c>
      <c r="M36">
        <f>TEXT(B36,"mmm")</f>
        <v/>
      </c>
      <c r="N36">
        <f>PROPER(TRIM(E36))</f>
        <v/>
      </c>
      <c r="O36">
        <f>PROPER(TRIM(C36))</f>
        <v/>
      </c>
      <c r="P36" s="9">
        <f>K36*IFERROR(XLOOKUP(D36,'03_Lookups'!$E$5:$E$6,'03_Lookups'!$F$5:$F$6),0)</f>
        <v/>
      </c>
      <c r="Q36" s="10">
        <f>IFERROR(P36/K36,0)</f>
        <v/>
      </c>
      <c r="R36">
        <f>IFS(K36&gt;=50000,"High",K36&gt;=20000,"Medium",TRUE,"Low")</f>
        <v/>
      </c>
    </row>
    <row r="37">
      <c r="A37">
        <f>'01_Raw_Data'!A37</f>
        <v/>
      </c>
      <c r="B37" s="8">
        <f>'01_Raw_Data'!B37</f>
        <v/>
      </c>
      <c r="C37">
        <f>PROPER(TRIM('01_Raw_Data'!C37))</f>
        <v/>
      </c>
      <c r="D37">
        <f>PROPER(TRIM('01_Raw_Data'!D37))</f>
        <v/>
      </c>
      <c r="E37">
        <f>PROPER(TRIM('01_Raw_Data'!E37))</f>
        <v/>
      </c>
      <c r="F37">
        <f>PROPER(TRIM('01_Raw_Data'!F37))</f>
        <v/>
      </c>
      <c r="G37">
        <f>PROPER(TRIM('01_Raw_Data'!G37))</f>
        <v/>
      </c>
      <c r="H37">
        <f>PROPER(TRIM('01_Raw_Data'!H37))</f>
        <v/>
      </c>
      <c r="I37">
        <f>'01_Raw_Data'!I37</f>
        <v/>
      </c>
      <c r="J37" s="9">
        <f>'01_Raw_Data'!J37</f>
        <v/>
      </c>
      <c r="K37" s="9">
        <f>IFERROR(I37*J37,0)</f>
        <v/>
      </c>
      <c r="L37">
        <f>YEAR(B37)</f>
        <v/>
      </c>
      <c r="M37">
        <f>TEXT(B37,"mmm")</f>
        <v/>
      </c>
      <c r="N37">
        <f>PROPER(TRIM(E37))</f>
        <v/>
      </c>
      <c r="O37">
        <f>PROPER(TRIM(C37))</f>
        <v/>
      </c>
      <c r="P37" s="9">
        <f>K37*IFERROR(XLOOKUP(D37,'03_Lookups'!$E$5:$E$6,'03_Lookups'!$F$5:$F$6),0)</f>
        <v/>
      </c>
      <c r="Q37" s="10">
        <f>IFERROR(P37/K37,0)</f>
        <v/>
      </c>
      <c r="R37">
        <f>IFS(K37&gt;=50000,"High",K37&gt;=20000,"Medium",TRUE,"Low")</f>
        <v/>
      </c>
    </row>
    <row r="38">
      <c r="A38">
        <f>'01_Raw_Data'!A38</f>
        <v/>
      </c>
      <c r="B38" s="8">
        <f>'01_Raw_Data'!B38</f>
        <v/>
      </c>
      <c r="C38">
        <f>PROPER(TRIM('01_Raw_Data'!C38))</f>
        <v/>
      </c>
      <c r="D38">
        <f>PROPER(TRIM('01_Raw_Data'!D38))</f>
        <v/>
      </c>
      <c r="E38">
        <f>PROPER(TRIM('01_Raw_Data'!E38))</f>
        <v/>
      </c>
      <c r="F38">
        <f>PROPER(TRIM('01_Raw_Data'!F38))</f>
        <v/>
      </c>
      <c r="G38">
        <f>PROPER(TRIM('01_Raw_Data'!G38))</f>
        <v/>
      </c>
      <c r="H38">
        <f>PROPER(TRIM('01_Raw_Data'!H38))</f>
        <v/>
      </c>
      <c r="I38">
        <f>'01_Raw_Data'!I38</f>
        <v/>
      </c>
      <c r="J38" s="9">
        <f>'01_Raw_Data'!J38</f>
        <v/>
      </c>
      <c r="K38" s="9">
        <f>IFERROR(I38*J38,0)</f>
        <v/>
      </c>
      <c r="L38">
        <f>YEAR(B38)</f>
        <v/>
      </c>
      <c r="M38">
        <f>TEXT(B38,"mmm")</f>
        <v/>
      </c>
      <c r="N38">
        <f>PROPER(TRIM(E38))</f>
        <v/>
      </c>
      <c r="O38">
        <f>PROPER(TRIM(C38))</f>
        <v/>
      </c>
      <c r="P38" s="9">
        <f>K38*IFERROR(XLOOKUP(D38,'03_Lookups'!$E$5:$E$6,'03_Lookups'!$F$5:$F$6),0)</f>
        <v/>
      </c>
      <c r="Q38" s="10">
        <f>IFERROR(P38/K38,0)</f>
        <v/>
      </c>
      <c r="R38">
        <f>IFS(K38&gt;=50000,"High",K38&gt;=20000,"Medium",TRUE,"Low")</f>
        <v/>
      </c>
    </row>
    <row r="39">
      <c r="A39">
        <f>'01_Raw_Data'!A39</f>
        <v/>
      </c>
      <c r="B39" s="8">
        <f>'01_Raw_Data'!B39</f>
        <v/>
      </c>
      <c r="C39">
        <f>PROPER(TRIM('01_Raw_Data'!C39))</f>
        <v/>
      </c>
      <c r="D39">
        <f>PROPER(TRIM('01_Raw_Data'!D39))</f>
        <v/>
      </c>
      <c r="E39">
        <f>PROPER(TRIM('01_Raw_Data'!E39))</f>
        <v/>
      </c>
      <c r="F39">
        <f>PROPER(TRIM('01_Raw_Data'!F39))</f>
        <v/>
      </c>
      <c r="G39">
        <f>PROPER(TRIM('01_Raw_Data'!G39))</f>
        <v/>
      </c>
      <c r="H39">
        <f>PROPER(TRIM('01_Raw_Data'!H39))</f>
        <v/>
      </c>
      <c r="I39">
        <f>'01_Raw_Data'!I39</f>
        <v/>
      </c>
      <c r="J39" s="9">
        <f>'01_Raw_Data'!J39</f>
        <v/>
      </c>
      <c r="K39" s="9">
        <f>IFERROR(I39*J39,0)</f>
        <v/>
      </c>
      <c r="L39">
        <f>YEAR(B39)</f>
        <v/>
      </c>
      <c r="M39">
        <f>TEXT(B39,"mmm")</f>
        <v/>
      </c>
      <c r="N39">
        <f>PROPER(TRIM(E39))</f>
        <v/>
      </c>
      <c r="O39">
        <f>PROPER(TRIM(C39))</f>
        <v/>
      </c>
      <c r="P39" s="9">
        <f>K39*IFERROR(XLOOKUP(D39,'03_Lookups'!$E$5:$E$6,'03_Lookups'!$F$5:$F$6),0)</f>
        <v/>
      </c>
      <c r="Q39" s="10">
        <f>IFERROR(P39/K39,0)</f>
        <v/>
      </c>
      <c r="R39">
        <f>IFS(K39&gt;=50000,"High",K39&gt;=20000,"Medium",TRUE,"Low")</f>
        <v/>
      </c>
    </row>
    <row r="40">
      <c r="A40">
        <f>'01_Raw_Data'!A40</f>
        <v/>
      </c>
      <c r="B40" s="8">
        <f>'01_Raw_Data'!B40</f>
        <v/>
      </c>
      <c r="C40">
        <f>PROPER(TRIM('01_Raw_Data'!C40))</f>
        <v/>
      </c>
      <c r="D40">
        <f>PROPER(TRIM('01_Raw_Data'!D40))</f>
        <v/>
      </c>
      <c r="E40">
        <f>PROPER(TRIM('01_Raw_Data'!E40))</f>
        <v/>
      </c>
      <c r="F40">
        <f>PROPER(TRIM('01_Raw_Data'!F40))</f>
        <v/>
      </c>
      <c r="G40">
        <f>PROPER(TRIM('01_Raw_Data'!G40))</f>
        <v/>
      </c>
      <c r="H40">
        <f>PROPER(TRIM('01_Raw_Data'!H40))</f>
        <v/>
      </c>
      <c r="I40">
        <f>'01_Raw_Data'!I40</f>
        <v/>
      </c>
      <c r="J40" s="9">
        <f>'01_Raw_Data'!J40</f>
        <v/>
      </c>
      <c r="K40" s="9">
        <f>IFERROR(I40*J40,0)</f>
        <v/>
      </c>
      <c r="L40">
        <f>YEAR(B40)</f>
        <v/>
      </c>
      <c r="M40">
        <f>TEXT(B40,"mmm")</f>
        <v/>
      </c>
      <c r="N40">
        <f>PROPER(TRIM(E40))</f>
        <v/>
      </c>
      <c r="O40">
        <f>PROPER(TRIM(C40))</f>
        <v/>
      </c>
      <c r="P40" s="9">
        <f>K40*IFERROR(XLOOKUP(D40,'03_Lookups'!$E$5:$E$6,'03_Lookups'!$F$5:$F$6),0)</f>
        <v/>
      </c>
      <c r="Q40" s="10">
        <f>IFERROR(P40/K40,0)</f>
        <v/>
      </c>
      <c r="R40">
        <f>IFS(K40&gt;=50000,"High",K40&gt;=20000,"Medium",TRUE,"Low")</f>
        <v/>
      </c>
    </row>
    <row r="41">
      <c r="A41">
        <f>'01_Raw_Data'!A41</f>
        <v/>
      </c>
      <c r="B41" s="8">
        <f>'01_Raw_Data'!B41</f>
        <v/>
      </c>
      <c r="C41">
        <f>PROPER(TRIM('01_Raw_Data'!C41))</f>
        <v/>
      </c>
      <c r="D41">
        <f>PROPER(TRIM('01_Raw_Data'!D41))</f>
        <v/>
      </c>
      <c r="E41">
        <f>PROPER(TRIM('01_Raw_Data'!E41))</f>
        <v/>
      </c>
      <c r="F41">
        <f>PROPER(TRIM('01_Raw_Data'!F41))</f>
        <v/>
      </c>
      <c r="G41">
        <f>PROPER(TRIM('01_Raw_Data'!G41))</f>
        <v/>
      </c>
      <c r="H41">
        <f>PROPER(TRIM('01_Raw_Data'!H41))</f>
        <v/>
      </c>
      <c r="I41">
        <f>'01_Raw_Data'!I41</f>
        <v/>
      </c>
      <c r="J41" s="9">
        <f>'01_Raw_Data'!J41</f>
        <v/>
      </c>
      <c r="K41" s="9">
        <f>IFERROR(I41*J41,0)</f>
        <v/>
      </c>
      <c r="L41">
        <f>YEAR(B41)</f>
        <v/>
      </c>
      <c r="M41">
        <f>TEXT(B41,"mmm")</f>
        <v/>
      </c>
      <c r="N41">
        <f>PROPER(TRIM(E41))</f>
        <v/>
      </c>
      <c r="O41">
        <f>PROPER(TRIM(C41))</f>
        <v/>
      </c>
      <c r="P41" s="9">
        <f>K41*IFERROR(XLOOKUP(D41,'03_Lookups'!$E$5:$E$6,'03_Lookups'!$F$5:$F$6),0)</f>
        <v/>
      </c>
      <c r="Q41" s="10">
        <f>IFERROR(P41/K41,0)</f>
        <v/>
      </c>
      <c r="R41">
        <f>IFS(K41&gt;=50000,"High",K41&gt;=20000,"Medium",TRUE,"Low")</f>
        <v/>
      </c>
    </row>
    <row r="42">
      <c r="A42">
        <f>'01_Raw_Data'!A42</f>
        <v/>
      </c>
      <c r="B42" s="8">
        <f>'01_Raw_Data'!B42</f>
        <v/>
      </c>
      <c r="C42">
        <f>PROPER(TRIM('01_Raw_Data'!C42))</f>
        <v/>
      </c>
      <c r="D42">
        <f>PROPER(TRIM('01_Raw_Data'!D42))</f>
        <v/>
      </c>
      <c r="E42">
        <f>PROPER(TRIM('01_Raw_Data'!E42))</f>
        <v/>
      </c>
      <c r="F42">
        <f>PROPER(TRIM('01_Raw_Data'!F42))</f>
        <v/>
      </c>
      <c r="G42">
        <f>PROPER(TRIM('01_Raw_Data'!G42))</f>
        <v/>
      </c>
      <c r="H42">
        <f>PROPER(TRIM('01_Raw_Data'!H42))</f>
        <v/>
      </c>
      <c r="I42">
        <f>'01_Raw_Data'!I42</f>
        <v/>
      </c>
      <c r="J42" s="9">
        <f>'01_Raw_Data'!J42</f>
        <v/>
      </c>
      <c r="K42" s="9">
        <f>IFERROR(I42*J42,0)</f>
        <v/>
      </c>
      <c r="L42">
        <f>YEAR(B42)</f>
        <v/>
      </c>
      <c r="M42">
        <f>TEXT(B42,"mmm")</f>
        <v/>
      </c>
      <c r="N42">
        <f>PROPER(TRIM(E42))</f>
        <v/>
      </c>
      <c r="O42">
        <f>PROPER(TRIM(C42))</f>
        <v/>
      </c>
      <c r="P42" s="9">
        <f>K42*IFERROR(XLOOKUP(D42,'03_Lookups'!$E$5:$E$6,'03_Lookups'!$F$5:$F$6),0)</f>
        <v/>
      </c>
      <c r="Q42" s="10">
        <f>IFERROR(P42/K42,0)</f>
        <v/>
      </c>
      <c r="R42">
        <f>IFS(K42&gt;=50000,"High",K42&gt;=20000,"Medium",TRUE,"Low")</f>
        <v/>
      </c>
    </row>
    <row r="43">
      <c r="A43">
        <f>'01_Raw_Data'!A43</f>
        <v/>
      </c>
      <c r="B43" s="8">
        <f>'01_Raw_Data'!B43</f>
        <v/>
      </c>
      <c r="C43">
        <f>PROPER(TRIM('01_Raw_Data'!C43))</f>
        <v/>
      </c>
      <c r="D43">
        <f>PROPER(TRIM('01_Raw_Data'!D43))</f>
        <v/>
      </c>
      <c r="E43">
        <f>PROPER(TRIM('01_Raw_Data'!E43))</f>
        <v/>
      </c>
      <c r="F43">
        <f>PROPER(TRIM('01_Raw_Data'!F43))</f>
        <v/>
      </c>
      <c r="G43">
        <f>PROPER(TRIM('01_Raw_Data'!G43))</f>
        <v/>
      </c>
      <c r="H43">
        <f>PROPER(TRIM('01_Raw_Data'!H43))</f>
        <v/>
      </c>
      <c r="I43">
        <f>'01_Raw_Data'!I43</f>
        <v/>
      </c>
      <c r="J43" s="9">
        <f>'01_Raw_Data'!J43</f>
        <v/>
      </c>
      <c r="K43" s="9">
        <f>IFERROR(I43*J43,0)</f>
        <v/>
      </c>
      <c r="L43">
        <f>YEAR(B43)</f>
        <v/>
      </c>
      <c r="M43">
        <f>TEXT(B43,"mmm")</f>
        <v/>
      </c>
      <c r="N43">
        <f>PROPER(TRIM(E43))</f>
        <v/>
      </c>
      <c r="O43">
        <f>PROPER(TRIM(C43))</f>
        <v/>
      </c>
      <c r="P43" s="9">
        <f>K43*IFERROR(XLOOKUP(D43,'03_Lookups'!$E$5:$E$6,'03_Lookups'!$F$5:$F$6),0)</f>
        <v/>
      </c>
      <c r="Q43" s="10">
        <f>IFERROR(P43/K43,0)</f>
        <v/>
      </c>
      <c r="R43">
        <f>IFS(K43&gt;=50000,"High",K43&gt;=20000,"Medium",TRUE,"Low")</f>
        <v/>
      </c>
    </row>
    <row r="44">
      <c r="A44">
        <f>'01_Raw_Data'!A44</f>
        <v/>
      </c>
      <c r="B44" s="8">
        <f>'01_Raw_Data'!B44</f>
        <v/>
      </c>
      <c r="C44">
        <f>PROPER(TRIM('01_Raw_Data'!C44))</f>
        <v/>
      </c>
      <c r="D44">
        <f>PROPER(TRIM('01_Raw_Data'!D44))</f>
        <v/>
      </c>
      <c r="E44">
        <f>PROPER(TRIM('01_Raw_Data'!E44))</f>
        <v/>
      </c>
      <c r="F44">
        <f>PROPER(TRIM('01_Raw_Data'!F44))</f>
        <v/>
      </c>
      <c r="G44">
        <f>PROPER(TRIM('01_Raw_Data'!G44))</f>
        <v/>
      </c>
      <c r="H44">
        <f>PROPER(TRIM('01_Raw_Data'!H44))</f>
        <v/>
      </c>
      <c r="I44">
        <f>'01_Raw_Data'!I44</f>
        <v/>
      </c>
      <c r="J44" s="9">
        <f>'01_Raw_Data'!J44</f>
        <v/>
      </c>
      <c r="K44" s="9">
        <f>IFERROR(I44*J44,0)</f>
        <v/>
      </c>
      <c r="L44">
        <f>YEAR(B44)</f>
        <v/>
      </c>
      <c r="M44">
        <f>TEXT(B44,"mmm")</f>
        <v/>
      </c>
      <c r="N44">
        <f>PROPER(TRIM(E44))</f>
        <v/>
      </c>
      <c r="O44">
        <f>PROPER(TRIM(C44))</f>
        <v/>
      </c>
      <c r="P44" s="9">
        <f>K44*IFERROR(XLOOKUP(D44,'03_Lookups'!$E$5:$E$6,'03_Lookups'!$F$5:$F$6),0)</f>
        <v/>
      </c>
      <c r="Q44" s="10">
        <f>IFERROR(P44/K44,0)</f>
        <v/>
      </c>
      <c r="R44">
        <f>IFS(K44&gt;=50000,"High",K44&gt;=20000,"Medium",TRUE,"Low")</f>
        <v/>
      </c>
    </row>
    <row r="45">
      <c r="A45">
        <f>'01_Raw_Data'!A45</f>
        <v/>
      </c>
      <c r="B45" s="8">
        <f>'01_Raw_Data'!B45</f>
        <v/>
      </c>
      <c r="C45">
        <f>PROPER(TRIM('01_Raw_Data'!C45))</f>
        <v/>
      </c>
      <c r="D45">
        <f>PROPER(TRIM('01_Raw_Data'!D45))</f>
        <v/>
      </c>
      <c r="E45">
        <f>PROPER(TRIM('01_Raw_Data'!E45))</f>
        <v/>
      </c>
      <c r="F45">
        <f>PROPER(TRIM('01_Raw_Data'!F45))</f>
        <v/>
      </c>
      <c r="G45">
        <f>PROPER(TRIM('01_Raw_Data'!G45))</f>
        <v/>
      </c>
      <c r="H45">
        <f>PROPER(TRIM('01_Raw_Data'!H45))</f>
        <v/>
      </c>
      <c r="I45">
        <f>'01_Raw_Data'!I45</f>
        <v/>
      </c>
      <c r="J45" s="9">
        <f>'01_Raw_Data'!J45</f>
        <v/>
      </c>
      <c r="K45" s="9">
        <f>IFERROR(I45*J45,0)</f>
        <v/>
      </c>
      <c r="L45">
        <f>YEAR(B45)</f>
        <v/>
      </c>
      <c r="M45">
        <f>TEXT(B45,"mmm")</f>
        <v/>
      </c>
      <c r="N45">
        <f>PROPER(TRIM(E45))</f>
        <v/>
      </c>
      <c r="O45">
        <f>PROPER(TRIM(C45))</f>
        <v/>
      </c>
      <c r="P45" s="9">
        <f>K45*IFERROR(XLOOKUP(D45,'03_Lookups'!$E$5:$E$6,'03_Lookups'!$F$5:$F$6),0)</f>
        <v/>
      </c>
      <c r="Q45" s="10">
        <f>IFERROR(P45/K45,0)</f>
        <v/>
      </c>
      <c r="R45">
        <f>IFS(K45&gt;=50000,"High",K45&gt;=20000,"Medium",TRUE,"Low")</f>
        <v/>
      </c>
    </row>
    <row r="46">
      <c r="A46">
        <f>'01_Raw_Data'!A46</f>
        <v/>
      </c>
      <c r="B46" s="8">
        <f>'01_Raw_Data'!B46</f>
        <v/>
      </c>
      <c r="C46">
        <f>PROPER(TRIM('01_Raw_Data'!C46))</f>
        <v/>
      </c>
      <c r="D46">
        <f>PROPER(TRIM('01_Raw_Data'!D46))</f>
        <v/>
      </c>
      <c r="E46">
        <f>PROPER(TRIM('01_Raw_Data'!E46))</f>
        <v/>
      </c>
      <c r="F46">
        <f>PROPER(TRIM('01_Raw_Data'!F46))</f>
        <v/>
      </c>
      <c r="G46">
        <f>PROPER(TRIM('01_Raw_Data'!G46))</f>
        <v/>
      </c>
      <c r="H46">
        <f>PROPER(TRIM('01_Raw_Data'!H46))</f>
        <v/>
      </c>
      <c r="I46">
        <f>'01_Raw_Data'!I46</f>
        <v/>
      </c>
      <c r="J46" s="9">
        <f>'01_Raw_Data'!J46</f>
        <v/>
      </c>
      <c r="K46" s="9">
        <f>IFERROR(I46*J46,0)</f>
        <v/>
      </c>
      <c r="L46">
        <f>YEAR(B46)</f>
        <v/>
      </c>
      <c r="M46">
        <f>TEXT(B46,"mmm")</f>
        <v/>
      </c>
      <c r="N46">
        <f>PROPER(TRIM(E46))</f>
        <v/>
      </c>
      <c r="O46">
        <f>PROPER(TRIM(C46))</f>
        <v/>
      </c>
      <c r="P46" s="9">
        <f>K46*IFERROR(XLOOKUP(D46,'03_Lookups'!$E$5:$E$6,'03_Lookups'!$F$5:$F$6),0)</f>
        <v/>
      </c>
      <c r="Q46" s="10">
        <f>IFERROR(P46/K46,0)</f>
        <v/>
      </c>
      <c r="R46">
        <f>IFS(K46&gt;=50000,"High",K46&gt;=20000,"Medium",TRUE,"Low")</f>
        <v/>
      </c>
    </row>
    <row r="47">
      <c r="A47">
        <f>'01_Raw_Data'!A47</f>
        <v/>
      </c>
      <c r="B47" s="8">
        <f>'01_Raw_Data'!B47</f>
        <v/>
      </c>
      <c r="C47">
        <f>PROPER(TRIM('01_Raw_Data'!C47))</f>
        <v/>
      </c>
      <c r="D47">
        <f>PROPER(TRIM('01_Raw_Data'!D47))</f>
        <v/>
      </c>
      <c r="E47">
        <f>PROPER(TRIM('01_Raw_Data'!E47))</f>
        <v/>
      </c>
      <c r="F47">
        <f>PROPER(TRIM('01_Raw_Data'!F47))</f>
        <v/>
      </c>
      <c r="G47">
        <f>PROPER(TRIM('01_Raw_Data'!G47))</f>
        <v/>
      </c>
      <c r="H47">
        <f>PROPER(TRIM('01_Raw_Data'!H47))</f>
        <v/>
      </c>
      <c r="I47">
        <f>'01_Raw_Data'!I47</f>
        <v/>
      </c>
      <c r="J47" s="9">
        <f>'01_Raw_Data'!J47</f>
        <v/>
      </c>
      <c r="K47" s="9">
        <f>IFERROR(I47*J47,0)</f>
        <v/>
      </c>
      <c r="L47">
        <f>YEAR(B47)</f>
        <v/>
      </c>
      <c r="M47">
        <f>TEXT(B47,"mmm")</f>
        <v/>
      </c>
      <c r="N47">
        <f>PROPER(TRIM(E47))</f>
        <v/>
      </c>
      <c r="O47">
        <f>PROPER(TRIM(C47))</f>
        <v/>
      </c>
      <c r="P47" s="9">
        <f>K47*IFERROR(XLOOKUP(D47,'03_Lookups'!$E$5:$E$6,'03_Lookups'!$F$5:$F$6),0)</f>
        <v/>
      </c>
      <c r="Q47" s="10">
        <f>IFERROR(P47/K47,0)</f>
        <v/>
      </c>
      <c r="R47">
        <f>IFS(K47&gt;=50000,"High",K47&gt;=20000,"Medium",TRUE,"Low")</f>
        <v/>
      </c>
    </row>
    <row r="48">
      <c r="A48">
        <f>'01_Raw_Data'!A48</f>
        <v/>
      </c>
      <c r="B48" s="8">
        <f>'01_Raw_Data'!B48</f>
        <v/>
      </c>
      <c r="C48">
        <f>PROPER(TRIM('01_Raw_Data'!C48))</f>
        <v/>
      </c>
      <c r="D48">
        <f>PROPER(TRIM('01_Raw_Data'!D48))</f>
        <v/>
      </c>
      <c r="E48">
        <f>PROPER(TRIM('01_Raw_Data'!E48))</f>
        <v/>
      </c>
      <c r="F48">
        <f>PROPER(TRIM('01_Raw_Data'!F48))</f>
        <v/>
      </c>
      <c r="G48">
        <f>PROPER(TRIM('01_Raw_Data'!G48))</f>
        <v/>
      </c>
      <c r="H48">
        <f>PROPER(TRIM('01_Raw_Data'!H48))</f>
        <v/>
      </c>
      <c r="I48">
        <f>'01_Raw_Data'!I48</f>
        <v/>
      </c>
      <c r="J48" s="9">
        <f>'01_Raw_Data'!J48</f>
        <v/>
      </c>
      <c r="K48" s="9">
        <f>IFERROR(I48*J48,0)</f>
        <v/>
      </c>
      <c r="L48">
        <f>YEAR(B48)</f>
        <v/>
      </c>
      <c r="M48">
        <f>TEXT(B48,"mmm")</f>
        <v/>
      </c>
      <c r="N48">
        <f>PROPER(TRIM(E48))</f>
        <v/>
      </c>
      <c r="O48">
        <f>PROPER(TRIM(C48))</f>
        <v/>
      </c>
      <c r="P48" s="9">
        <f>K48*IFERROR(XLOOKUP(D48,'03_Lookups'!$E$5:$E$6,'03_Lookups'!$F$5:$F$6),0)</f>
        <v/>
      </c>
      <c r="Q48" s="10">
        <f>IFERROR(P48/K48,0)</f>
        <v/>
      </c>
      <c r="R48">
        <f>IFS(K48&gt;=50000,"High",K48&gt;=20000,"Medium",TRUE,"Low")</f>
        <v/>
      </c>
    </row>
    <row r="49">
      <c r="A49">
        <f>'01_Raw_Data'!A49</f>
        <v/>
      </c>
      <c r="B49" s="8">
        <f>'01_Raw_Data'!B49</f>
        <v/>
      </c>
      <c r="C49">
        <f>PROPER(TRIM('01_Raw_Data'!C49))</f>
        <v/>
      </c>
      <c r="D49">
        <f>PROPER(TRIM('01_Raw_Data'!D49))</f>
        <v/>
      </c>
      <c r="E49">
        <f>PROPER(TRIM('01_Raw_Data'!E49))</f>
        <v/>
      </c>
      <c r="F49">
        <f>PROPER(TRIM('01_Raw_Data'!F49))</f>
        <v/>
      </c>
      <c r="G49">
        <f>PROPER(TRIM('01_Raw_Data'!G49))</f>
        <v/>
      </c>
      <c r="H49">
        <f>PROPER(TRIM('01_Raw_Data'!H49))</f>
        <v/>
      </c>
      <c r="I49">
        <f>'01_Raw_Data'!I49</f>
        <v/>
      </c>
      <c r="J49" s="9">
        <f>'01_Raw_Data'!J49</f>
        <v/>
      </c>
      <c r="K49" s="9">
        <f>IFERROR(I49*J49,0)</f>
        <v/>
      </c>
      <c r="L49">
        <f>YEAR(B49)</f>
        <v/>
      </c>
      <c r="M49">
        <f>TEXT(B49,"mmm")</f>
        <v/>
      </c>
      <c r="N49">
        <f>PROPER(TRIM(E49))</f>
        <v/>
      </c>
      <c r="O49">
        <f>PROPER(TRIM(C49))</f>
        <v/>
      </c>
      <c r="P49" s="9">
        <f>K49*IFERROR(XLOOKUP(D49,'03_Lookups'!$E$5:$E$6,'03_Lookups'!$F$5:$F$6),0)</f>
        <v/>
      </c>
      <c r="Q49" s="10">
        <f>IFERROR(P49/K49,0)</f>
        <v/>
      </c>
      <c r="R49">
        <f>IFS(K49&gt;=50000,"High",K49&gt;=20000,"Medium",TRUE,"Low")</f>
        <v/>
      </c>
    </row>
    <row r="50">
      <c r="A50">
        <f>'01_Raw_Data'!A50</f>
        <v/>
      </c>
      <c r="B50" s="8">
        <f>'01_Raw_Data'!B50</f>
        <v/>
      </c>
      <c r="C50">
        <f>PROPER(TRIM('01_Raw_Data'!C50))</f>
        <v/>
      </c>
      <c r="D50">
        <f>PROPER(TRIM('01_Raw_Data'!D50))</f>
        <v/>
      </c>
      <c r="E50">
        <f>PROPER(TRIM('01_Raw_Data'!E50))</f>
        <v/>
      </c>
      <c r="F50">
        <f>PROPER(TRIM('01_Raw_Data'!F50))</f>
        <v/>
      </c>
      <c r="G50">
        <f>PROPER(TRIM('01_Raw_Data'!G50))</f>
        <v/>
      </c>
      <c r="H50">
        <f>PROPER(TRIM('01_Raw_Data'!H50))</f>
        <v/>
      </c>
      <c r="I50">
        <f>'01_Raw_Data'!I50</f>
        <v/>
      </c>
      <c r="J50" s="9">
        <f>'01_Raw_Data'!J50</f>
        <v/>
      </c>
      <c r="K50" s="9">
        <f>IFERROR(I50*J50,0)</f>
        <v/>
      </c>
      <c r="L50">
        <f>YEAR(B50)</f>
        <v/>
      </c>
      <c r="M50">
        <f>TEXT(B50,"mmm")</f>
        <v/>
      </c>
      <c r="N50">
        <f>PROPER(TRIM(E50))</f>
        <v/>
      </c>
      <c r="O50">
        <f>PROPER(TRIM(C50))</f>
        <v/>
      </c>
      <c r="P50" s="9">
        <f>K50*IFERROR(XLOOKUP(D50,'03_Lookups'!$E$5:$E$6,'03_Lookups'!$F$5:$F$6),0)</f>
        <v/>
      </c>
      <c r="Q50" s="10">
        <f>IFERROR(P50/K50,0)</f>
        <v/>
      </c>
      <c r="R50">
        <f>IFS(K50&gt;=50000,"High",K50&gt;=20000,"Medium",TRUE,"Low")</f>
        <v/>
      </c>
    </row>
    <row r="51">
      <c r="A51">
        <f>'01_Raw_Data'!A51</f>
        <v/>
      </c>
      <c r="B51" s="8">
        <f>'01_Raw_Data'!B51</f>
        <v/>
      </c>
      <c r="C51">
        <f>PROPER(TRIM('01_Raw_Data'!C51))</f>
        <v/>
      </c>
      <c r="D51">
        <f>PROPER(TRIM('01_Raw_Data'!D51))</f>
        <v/>
      </c>
      <c r="E51">
        <f>PROPER(TRIM('01_Raw_Data'!E51))</f>
        <v/>
      </c>
      <c r="F51">
        <f>PROPER(TRIM('01_Raw_Data'!F51))</f>
        <v/>
      </c>
      <c r="G51">
        <f>PROPER(TRIM('01_Raw_Data'!G51))</f>
        <v/>
      </c>
      <c r="H51">
        <f>PROPER(TRIM('01_Raw_Data'!H51))</f>
        <v/>
      </c>
      <c r="I51">
        <f>'01_Raw_Data'!I51</f>
        <v/>
      </c>
      <c r="J51" s="9">
        <f>'01_Raw_Data'!J51</f>
        <v/>
      </c>
      <c r="K51" s="9">
        <f>IFERROR(I51*J51,0)</f>
        <v/>
      </c>
      <c r="L51">
        <f>YEAR(B51)</f>
        <v/>
      </c>
      <c r="M51">
        <f>TEXT(B51,"mmm")</f>
        <v/>
      </c>
      <c r="N51">
        <f>PROPER(TRIM(E51))</f>
        <v/>
      </c>
      <c r="O51">
        <f>PROPER(TRIM(C51))</f>
        <v/>
      </c>
      <c r="P51" s="9">
        <f>K51*IFERROR(XLOOKUP(D51,'03_Lookups'!$E$5:$E$6,'03_Lookups'!$F$5:$F$6),0)</f>
        <v/>
      </c>
      <c r="Q51" s="10">
        <f>IFERROR(P51/K51,0)</f>
        <v/>
      </c>
      <c r="R51">
        <f>IFS(K51&gt;=50000,"High",K51&gt;=20000,"Medium",TRUE,"Low")</f>
        <v/>
      </c>
    </row>
    <row r="52">
      <c r="A52">
        <f>'01_Raw_Data'!A52</f>
        <v/>
      </c>
      <c r="B52" s="8">
        <f>'01_Raw_Data'!B52</f>
        <v/>
      </c>
      <c r="C52">
        <f>PROPER(TRIM('01_Raw_Data'!C52))</f>
        <v/>
      </c>
      <c r="D52">
        <f>PROPER(TRIM('01_Raw_Data'!D52))</f>
        <v/>
      </c>
      <c r="E52">
        <f>PROPER(TRIM('01_Raw_Data'!E52))</f>
        <v/>
      </c>
      <c r="F52">
        <f>PROPER(TRIM('01_Raw_Data'!F52))</f>
        <v/>
      </c>
      <c r="G52">
        <f>PROPER(TRIM('01_Raw_Data'!G52))</f>
        <v/>
      </c>
      <c r="H52">
        <f>PROPER(TRIM('01_Raw_Data'!H52))</f>
        <v/>
      </c>
      <c r="I52">
        <f>'01_Raw_Data'!I52</f>
        <v/>
      </c>
      <c r="J52" s="9">
        <f>'01_Raw_Data'!J52</f>
        <v/>
      </c>
      <c r="K52" s="9">
        <f>IFERROR(I52*J52,0)</f>
        <v/>
      </c>
      <c r="L52">
        <f>YEAR(B52)</f>
        <v/>
      </c>
      <c r="M52">
        <f>TEXT(B52,"mmm")</f>
        <v/>
      </c>
      <c r="N52">
        <f>PROPER(TRIM(E52))</f>
        <v/>
      </c>
      <c r="O52">
        <f>PROPER(TRIM(C52))</f>
        <v/>
      </c>
      <c r="P52" s="9">
        <f>K52*IFERROR(XLOOKUP(D52,'03_Lookups'!$E$5:$E$6,'03_Lookups'!$F$5:$F$6),0)</f>
        <v/>
      </c>
      <c r="Q52" s="10">
        <f>IFERROR(P52/K52,0)</f>
        <v/>
      </c>
      <c r="R52">
        <f>IFS(K52&gt;=50000,"High",K52&gt;=20000,"Medium",TRUE,"Low")</f>
        <v/>
      </c>
    </row>
    <row r="53">
      <c r="A53">
        <f>'01_Raw_Data'!A53</f>
        <v/>
      </c>
      <c r="B53" s="8">
        <f>'01_Raw_Data'!B53</f>
        <v/>
      </c>
      <c r="C53">
        <f>PROPER(TRIM('01_Raw_Data'!C53))</f>
        <v/>
      </c>
      <c r="D53">
        <f>PROPER(TRIM('01_Raw_Data'!D53))</f>
        <v/>
      </c>
      <c r="E53">
        <f>PROPER(TRIM('01_Raw_Data'!E53))</f>
        <v/>
      </c>
      <c r="F53">
        <f>PROPER(TRIM('01_Raw_Data'!F53))</f>
        <v/>
      </c>
      <c r="G53">
        <f>PROPER(TRIM('01_Raw_Data'!G53))</f>
        <v/>
      </c>
      <c r="H53">
        <f>PROPER(TRIM('01_Raw_Data'!H53))</f>
        <v/>
      </c>
      <c r="I53">
        <f>'01_Raw_Data'!I53</f>
        <v/>
      </c>
      <c r="J53" s="9">
        <f>'01_Raw_Data'!J53</f>
        <v/>
      </c>
      <c r="K53" s="9">
        <f>IFERROR(I53*J53,0)</f>
        <v/>
      </c>
      <c r="L53">
        <f>YEAR(B53)</f>
        <v/>
      </c>
      <c r="M53">
        <f>TEXT(B53,"mmm")</f>
        <v/>
      </c>
      <c r="N53">
        <f>PROPER(TRIM(E53))</f>
        <v/>
      </c>
      <c r="O53">
        <f>PROPER(TRIM(C53))</f>
        <v/>
      </c>
      <c r="P53" s="9">
        <f>K53*IFERROR(XLOOKUP(D53,'03_Lookups'!$E$5:$E$6,'03_Lookups'!$F$5:$F$6),0)</f>
        <v/>
      </c>
      <c r="Q53" s="10">
        <f>IFERROR(P53/K53,0)</f>
        <v/>
      </c>
      <c r="R53">
        <f>IFS(K53&gt;=50000,"High",K53&gt;=20000,"Medium",TRUE,"Low")</f>
        <v/>
      </c>
    </row>
    <row r="54">
      <c r="A54">
        <f>'01_Raw_Data'!A54</f>
        <v/>
      </c>
      <c r="B54" s="8">
        <f>'01_Raw_Data'!B54</f>
        <v/>
      </c>
      <c r="C54">
        <f>PROPER(TRIM('01_Raw_Data'!C54))</f>
        <v/>
      </c>
      <c r="D54">
        <f>PROPER(TRIM('01_Raw_Data'!D54))</f>
        <v/>
      </c>
      <c r="E54">
        <f>PROPER(TRIM('01_Raw_Data'!E54))</f>
        <v/>
      </c>
      <c r="F54">
        <f>PROPER(TRIM('01_Raw_Data'!F54))</f>
        <v/>
      </c>
      <c r="G54">
        <f>PROPER(TRIM('01_Raw_Data'!G54))</f>
        <v/>
      </c>
      <c r="H54">
        <f>PROPER(TRIM('01_Raw_Data'!H54))</f>
        <v/>
      </c>
      <c r="I54">
        <f>'01_Raw_Data'!I54</f>
        <v/>
      </c>
      <c r="J54" s="9">
        <f>'01_Raw_Data'!J54</f>
        <v/>
      </c>
      <c r="K54" s="9">
        <f>IFERROR(I54*J54,0)</f>
        <v/>
      </c>
      <c r="L54">
        <f>YEAR(B54)</f>
        <v/>
      </c>
      <c r="M54">
        <f>TEXT(B54,"mmm")</f>
        <v/>
      </c>
      <c r="N54">
        <f>PROPER(TRIM(E54))</f>
        <v/>
      </c>
      <c r="O54">
        <f>PROPER(TRIM(C54))</f>
        <v/>
      </c>
      <c r="P54" s="9">
        <f>K54*IFERROR(XLOOKUP(D54,'03_Lookups'!$E$5:$E$6,'03_Lookups'!$F$5:$F$6),0)</f>
        <v/>
      </c>
      <c r="Q54" s="10">
        <f>IFERROR(P54/K54,0)</f>
        <v/>
      </c>
      <c r="R54">
        <f>IFS(K54&gt;=50000,"High",K54&gt;=20000,"Medium",TRUE,"Low")</f>
        <v/>
      </c>
    </row>
    <row r="55">
      <c r="A55">
        <f>'01_Raw_Data'!A55</f>
        <v/>
      </c>
      <c r="B55" s="8">
        <f>'01_Raw_Data'!B55</f>
        <v/>
      </c>
      <c r="C55">
        <f>PROPER(TRIM('01_Raw_Data'!C55))</f>
        <v/>
      </c>
      <c r="D55">
        <f>PROPER(TRIM('01_Raw_Data'!D55))</f>
        <v/>
      </c>
      <c r="E55">
        <f>PROPER(TRIM('01_Raw_Data'!E55))</f>
        <v/>
      </c>
      <c r="F55">
        <f>PROPER(TRIM('01_Raw_Data'!F55))</f>
        <v/>
      </c>
      <c r="G55">
        <f>PROPER(TRIM('01_Raw_Data'!G55))</f>
        <v/>
      </c>
      <c r="H55">
        <f>PROPER(TRIM('01_Raw_Data'!H55))</f>
        <v/>
      </c>
      <c r="I55">
        <f>'01_Raw_Data'!I55</f>
        <v/>
      </c>
      <c r="J55" s="9">
        <f>'01_Raw_Data'!J55</f>
        <v/>
      </c>
      <c r="K55" s="9">
        <f>IFERROR(I55*J55,0)</f>
        <v/>
      </c>
      <c r="L55">
        <f>YEAR(B55)</f>
        <v/>
      </c>
      <c r="M55">
        <f>TEXT(B55,"mmm")</f>
        <v/>
      </c>
      <c r="N55">
        <f>PROPER(TRIM(E55))</f>
        <v/>
      </c>
      <c r="O55">
        <f>PROPER(TRIM(C55))</f>
        <v/>
      </c>
      <c r="P55" s="9">
        <f>K55*IFERROR(XLOOKUP(D55,'03_Lookups'!$E$5:$E$6,'03_Lookups'!$F$5:$F$6),0)</f>
        <v/>
      </c>
      <c r="Q55" s="10">
        <f>IFERROR(P55/K55,0)</f>
        <v/>
      </c>
      <c r="R55">
        <f>IFS(K55&gt;=50000,"High",K55&gt;=20000,"Medium",TRUE,"Low")</f>
        <v/>
      </c>
    </row>
    <row r="56">
      <c r="A56">
        <f>'01_Raw_Data'!A56</f>
        <v/>
      </c>
      <c r="B56" s="8">
        <f>'01_Raw_Data'!B56</f>
        <v/>
      </c>
      <c r="C56">
        <f>PROPER(TRIM('01_Raw_Data'!C56))</f>
        <v/>
      </c>
      <c r="D56">
        <f>PROPER(TRIM('01_Raw_Data'!D56))</f>
        <v/>
      </c>
      <c r="E56">
        <f>PROPER(TRIM('01_Raw_Data'!E56))</f>
        <v/>
      </c>
      <c r="F56">
        <f>PROPER(TRIM('01_Raw_Data'!F56))</f>
        <v/>
      </c>
      <c r="G56">
        <f>PROPER(TRIM('01_Raw_Data'!G56))</f>
        <v/>
      </c>
      <c r="H56">
        <f>PROPER(TRIM('01_Raw_Data'!H56))</f>
        <v/>
      </c>
      <c r="I56">
        <f>'01_Raw_Data'!I56</f>
        <v/>
      </c>
      <c r="J56" s="9">
        <f>'01_Raw_Data'!J56</f>
        <v/>
      </c>
      <c r="K56" s="9">
        <f>IFERROR(I56*J56,0)</f>
        <v/>
      </c>
      <c r="L56">
        <f>YEAR(B56)</f>
        <v/>
      </c>
      <c r="M56">
        <f>TEXT(B56,"mmm")</f>
        <v/>
      </c>
      <c r="N56">
        <f>PROPER(TRIM(E56))</f>
        <v/>
      </c>
      <c r="O56">
        <f>PROPER(TRIM(C56))</f>
        <v/>
      </c>
      <c r="P56" s="9">
        <f>K56*IFERROR(XLOOKUP(D56,'03_Lookups'!$E$5:$E$6,'03_Lookups'!$F$5:$F$6),0)</f>
        <v/>
      </c>
      <c r="Q56" s="10">
        <f>IFERROR(P56/K56,0)</f>
        <v/>
      </c>
      <c r="R56">
        <f>IFS(K56&gt;=50000,"High",K56&gt;=20000,"Medium",TRUE,"Low")</f>
        <v/>
      </c>
    </row>
    <row r="57">
      <c r="A57">
        <f>'01_Raw_Data'!A57</f>
        <v/>
      </c>
      <c r="B57" s="8">
        <f>'01_Raw_Data'!B57</f>
        <v/>
      </c>
      <c r="C57">
        <f>PROPER(TRIM('01_Raw_Data'!C57))</f>
        <v/>
      </c>
      <c r="D57">
        <f>PROPER(TRIM('01_Raw_Data'!D57))</f>
        <v/>
      </c>
      <c r="E57">
        <f>PROPER(TRIM('01_Raw_Data'!E57))</f>
        <v/>
      </c>
      <c r="F57">
        <f>PROPER(TRIM('01_Raw_Data'!F57))</f>
        <v/>
      </c>
      <c r="G57">
        <f>PROPER(TRIM('01_Raw_Data'!G57))</f>
        <v/>
      </c>
      <c r="H57">
        <f>PROPER(TRIM('01_Raw_Data'!H57))</f>
        <v/>
      </c>
      <c r="I57">
        <f>'01_Raw_Data'!I57</f>
        <v/>
      </c>
      <c r="J57" s="9">
        <f>'01_Raw_Data'!J57</f>
        <v/>
      </c>
      <c r="K57" s="9">
        <f>IFERROR(I57*J57,0)</f>
        <v/>
      </c>
      <c r="L57">
        <f>YEAR(B57)</f>
        <v/>
      </c>
      <c r="M57">
        <f>TEXT(B57,"mmm")</f>
        <v/>
      </c>
      <c r="N57">
        <f>PROPER(TRIM(E57))</f>
        <v/>
      </c>
      <c r="O57">
        <f>PROPER(TRIM(C57))</f>
        <v/>
      </c>
      <c r="P57" s="9">
        <f>K57*IFERROR(XLOOKUP(D57,'03_Lookups'!$E$5:$E$6,'03_Lookups'!$F$5:$F$6),0)</f>
        <v/>
      </c>
      <c r="Q57" s="10">
        <f>IFERROR(P57/K57,0)</f>
        <v/>
      </c>
      <c r="R57">
        <f>IFS(K57&gt;=50000,"High",K57&gt;=20000,"Medium",TRUE,"Low")</f>
        <v/>
      </c>
    </row>
    <row r="58">
      <c r="A58">
        <f>'01_Raw_Data'!A58</f>
        <v/>
      </c>
      <c r="B58" s="8">
        <f>'01_Raw_Data'!B58</f>
        <v/>
      </c>
      <c r="C58">
        <f>PROPER(TRIM('01_Raw_Data'!C58))</f>
        <v/>
      </c>
      <c r="D58">
        <f>PROPER(TRIM('01_Raw_Data'!D58))</f>
        <v/>
      </c>
      <c r="E58">
        <f>PROPER(TRIM('01_Raw_Data'!E58))</f>
        <v/>
      </c>
      <c r="F58">
        <f>PROPER(TRIM('01_Raw_Data'!F58))</f>
        <v/>
      </c>
      <c r="G58">
        <f>PROPER(TRIM('01_Raw_Data'!G58))</f>
        <v/>
      </c>
      <c r="H58">
        <f>PROPER(TRIM('01_Raw_Data'!H58))</f>
        <v/>
      </c>
      <c r="I58">
        <f>'01_Raw_Data'!I58</f>
        <v/>
      </c>
      <c r="J58" s="9">
        <f>'01_Raw_Data'!J58</f>
        <v/>
      </c>
      <c r="K58" s="9">
        <f>IFERROR(I58*J58,0)</f>
        <v/>
      </c>
      <c r="L58">
        <f>YEAR(B58)</f>
        <v/>
      </c>
      <c r="M58">
        <f>TEXT(B58,"mmm")</f>
        <v/>
      </c>
      <c r="N58">
        <f>PROPER(TRIM(E58))</f>
        <v/>
      </c>
      <c r="O58">
        <f>PROPER(TRIM(C58))</f>
        <v/>
      </c>
      <c r="P58" s="9">
        <f>K58*IFERROR(XLOOKUP(D58,'03_Lookups'!$E$5:$E$6,'03_Lookups'!$F$5:$F$6),0)</f>
        <v/>
      </c>
      <c r="Q58" s="10">
        <f>IFERROR(P58/K58,0)</f>
        <v/>
      </c>
      <c r="R58">
        <f>IFS(K58&gt;=50000,"High",K58&gt;=20000,"Medium",TRUE,"Low")</f>
        <v/>
      </c>
    </row>
    <row r="59">
      <c r="A59">
        <f>'01_Raw_Data'!A59</f>
        <v/>
      </c>
      <c r="B59" s="8">
        <f>'01_Raw_Data'!B59</f>
        <v/>
      </c>
      <c r="C59">
        <f>PROPER(TRIM('01_Raw_Data'!C59))</f>
        <v/>
      </c>
      <c r="D59">
        <f>PROPER(TRIM('01_Raw_Data'!D59))</f>
        <v/>
      </c>
      <c r="E59">
        <f>PROPER(TRIM('01_Raw_Data'!E59))</f>
        <v/>
      </c>
      <c r="F59">
        <f>PROPER(TRIM('01_Raw_Data'!F59))</f>
        <v/>
      </c>
      <c r="G59">
        <f>PROPER(TRIM('01_Raw_Data'!G59))</f>
        <v/>
      </c>
      <c r="H59">
        <f>PROPER(TRIM('01_Raw_Data'!H59))</f>
        <v/>
      </c>
      <c r="I59">
        <f>'01_Raw_Data'!I59</f>
        <v/>
      </c>
      <c r="J59" s="9">
        <f>'01_Raw_Data'!J59</f>
        <v/>
      </c>
      <c r="K59" s="9">
        <f>IFERROR(I59*J59,0)</f>
        <v/>
      </c>
      <c r="L59">
        <f>YEAR(B59)</f>
        <v/>
      </c>
      <c r="M59">
        <f>TEXT(B59,"mmm")</f>
        <v/>
      </c>
      <c r="N59">
        <f>PROPER(TRIM(E59))</f>
        <v/>
      </c>
      <c r="O59">
        <f>PROPER(TRIM(C59))</f>
        <v/>
      </c>
      <c r="P59" s="9">
        <f>K59*IFERROR(XLOOKUP(D59,'03_Lookups'!$E$5:$E$6,'03_Lookups'!$F$5:$F$6),0)</f>
        <v/>
      </c>
      <c r="Q59" s="10">
        <f>IFERROR(P59/K59,0)</f>
        <v/>
      </c>
      <c r="R59">
        <f>IFS(K59&gt;=50000,"High",K59&gt;=20000,"Medium",TRUE,"Low")</f>
        <v/>
      </c>
    </row>
    <row r="60">
      <c r="A60">
        <f>'01_Raw_Data'!A60</f>
        <v/>
      </c>
      <c r="B60" s="8">
        <f>'01_Raw_Data'!B60</f>
        <v/>
      </c>
      <c r="C60">
        <f>PROPER(TRIM('01_Raw_Data'!C60))</f>
        <v/>
      </c>
      <c r="D60">
        <f>PROPER(TRIM('01_Raw_Data'!D60))</f>
        <v/>
      </c>
      <c r="E60">
        <f>PROPER(TRIM('01_Raw_Data'!E60))</f>
        <v/>
      </c>
      <c r="F60">
        <f>PROPER(TRIM('01_Raw_Data'!F60))</f>
        <v/>
      </c>
      <c r="G60">
        <f>PROPER(TRIM('01_Raw_Data'!G60))</f>
        <v/>
      </c>
      <c r="H60">
        <f>PROPER(TRIM('01_Raw_Data'!H60))</f>
        <v/>
      </c>
      <c r="I60">
        <f>'01_Raw_Data'!I60</f>
        <v/>
      </c>
      <c r="J60" s="9">
        <f>'01_Raw_Data'!J60</f>
        <v/>
      </c>
      <c r="K60" s="9">
        <f>IFERROR(I60*J60,0)</f>
        <v/>
      </c>
      <c r="L60">
        <f>YEAR(B60)</f>
        <v/>
      </c>
      <c r="M60">
        <f>TEXT(B60,"mmm")</f>
        <v/>
      </c>
      <c r="N60">
        <f>PROPER(TRIM(E60))</f>
        <v/>
      </c>
      <c r="O60">
        <f>PROPER(TRIM(C60))</f>
        <v/>
      </c>
      <c r="P60" s="9">
        <f>K60*IFERROR(XLOOKUP(D60,'03_Lookups'!$E$5:$E$6,'03_Lookups'!$F$5:$F$6),0)</f>
        <v/>
      </c>
      <c r="Q60" s="10">
        <f>IFERROR(P60/K60,0)</f>
        <v/>
      </c>
      <c r="R60">
        <f>IFS(K60&gt;=50000,"High",K60&gt;=20000,"Medium",TRUE,"Low")</f>
        <v/>
      </c>
    </row>
    <row r="61">
      <c r="A61">
        <f>'01_Raw_Data'!A61</f>
        <v/>
      </c>
      <c r="B61" s="8">
        <f>'01_Raw_Data'!B61</f>
        <v/>
      </c>
      <c r="C61">
        <f>PROPER(TRIM('01_Raw_Data'!C61))</f>
        <v/>
      </c>
      <c r="D61">
        <f>PROPER(TRIM('01_Raw_Data'!D61))</f>
        <v/>
      </c>
      <c r="E61">
        <f>PROPER(TRIM('01_Raw_Data'!E61))</f>
        <v/>
      </c>
      <c r="F61">
        <f>PROPER(TRIM('01_Raw_Data'!F61))</f>
        <v/>
      </c>
      <c r="G61">
        <f>PROPER(TRIM('01_Raw_Data'!G61))</f>
        <v/>
      </c>
      <c r="H61">
        <f>PROPER(TRIM('01_Raw_Data'!H61))</f>
        <v/>
      </c>
      <c r="I61">
        <f>'01_Raw_Data'!I61</f>
        <v/>
      </c>
      <c r="J61" s="9">
        <f>'01_Raw_Data'!J61</f>
        <v/>
      </c>
      <c r="K61" s="9">
        <f>IFERROR(I61*J61,0)</f>
        <v/>
      </c>
      <c r="L61">
        <f>YEAR(B61)</f>
        <v/>
      </c>
      <c r="M61">
        <f>TEXT(B61,"mmm")</f>
        <v/>
      </c>
      <c r="N61">
        <f>PROPER(TRIM(E61))</f>
        <v/>
      </c>
      <c r="O61">
        <f>PROPER(TRIM(C61))</f>
        <v/>
      </c>
      <c r="P61" s="9">
        <f>K61*IFERROR(XLOOKUP(D61,'03_Lookups'!$E$5:$E$6,'03_Lookups'!$F$5:$F$6),0)</f>
        <v/>
      </c>
      <c r="Q61" s="10">
        <f>IFERROR(P61/K61,0)</f>
        <v/>
      </c>
      <c r="R61">
        <f>IFS(K61&gt;=50000,"High",K61&gt;=20000,"Medium",TRUE,"Low")</f>
        <v/>
      </c>
    </row>
    <row r="62">
      <c r="A62">
        <f>'01_Raw_Data'!A62</f>
        <v/>
      </c>
      <c r="B62" s="8">
        <f>'01_Raw_Data'!B62</f>
        <v/>
      </c>
      <c r="C62">
        <f>PROPER(TRIM('01_Raw_Data'!C62))</f>
        <v/>
      </c>
      <c r="D62">
        <f>PROPER(TRIM('01_Raw_Data'!D62))</f>
        <v/>
      </c>
      <c r="E62">
        <f>PROPER(TRIM('01_Raw_Data'!E62))</f>
        <v/>
      </c>
      <c r="F62">
        <f>PROPER(TRIM('01_Raw_Data'!F62))</f>
        <v/>
      </c>
      <c r="G62">
        <f>PROPER(TRIM('01_Raw_Data'!G62))</f>
        <v/>
      </c>
      <c r="H62">
        <f>PROPER(TRIM('01_Raw_Data'!H62))</f>
        <v/>
      </c>
      <c r="I62">
        <f>'01_Raw_Data'!I62</f>
        <v/>
      </c>
      <c r="J62" s="9">
        <f>'01_Raw_Data'!J62</f>
        <v/>
      </c>
      <c r="K62" s="9">
        <f>IFERROR(I62*J62,0)</f>
        <v/>
      </c>
      <c r="L62">
        <f>YEAR(B62)</f>
        <v/>
      </c>
      <c r="M62">
        <f>TEXT(B62,"mmm")</f>
        <v/>
      </c>
      <c r="N62">
        <f>PROPER(TRIM(E62))</f>
        <v/>
      </c>
      <c r="O62">
        <f>PROPER(TRIM(C62))</f>
        <v/>
      </c>
      <c r="P62" s="9">
        <f>K62*IFERROR(XLOOKUP(D62,'03_Lookups'!$E$5:$E$6,'03_Lookups'!$F$5:$F$6),0)</f>
        <v/>
      </c>
      <c r="Q62" s="10">
        <f>IFERROR(P62/K62,0)</f>
        <v/>
      </c>
      <c r="R62">
        <f>IFS(K62&gt;=50000,"High",K62&gt;=20000,"Medium",TRUE,"Low")</f>
        <v/>
      </c>
    </row>
    <row r="63">
      <c r="A63">
        <f>'01_Raw_Data'!A63</f>
        <v/>
      </c>
      <c r="B63" s="8">
        <f>'01_Raw_Data'!B63</f>
        <v/>
      </c>
      <c r="C63">
        <f>PROPER(TRIM('01_Raw_Data'!C63))</f>
        <v/>
      </c>
      <c r="D63">
        <f>PROPER(TRIM('01_Raw_Data'!D63))</f>
        <v/>
      </c>
      <c r="E63">
        <f>PROPER(TRIM('01_Raw_Data'!E63))</f>
        <v/>
      </c>
      <c r="F63">
        <f>PROPER(TRIM('01_Raw_Data'!F63))</f>
        <v/>
      </c>
      <c r="G63">
        <f>PROPER(TRIM('01_Raw_Data'!G63))</f>
        <v/>
      </c>
      <c r="H63">
        <f>PROPER(TRIM('01_Raw_Data'!H63))</f>
        <v/>
      </c>
      <c r="I63">
        <f>'01_Raw_Data'!I63</f>
        <v/>
      </c>
      <c r="J63" s="9">
        <f>'01_Raw_Data'!J63</f>
        <v/>
      </c>
      <c r="K63" s="9">
        <f>IFERROR(I63*J63,0)</f>
        <v/>
      </c>
      <c r="L63">
        <f>YEAR(B63)</f>
        <v/>
      </c>
      <c r="M63">
        <f>TEXT(B63,"mmm")</f>
        <v/>
      </c>
      <c r="N63">
        <f>PROPER(TRIM(E63))</f>
        <v/>
      </c>
      <c r="O63">
        <f>PROPER(TRIM(C63))</f>
        <v/>
      </c>
      <c r="P63" s="9">
        <f>K63*IFERROR(XLOOKUP(D63,'03_Lookups'!$E$5:$E$6,'03_Lookups'!$F$5:$F$6),0)</f>
        <v/>
      </c>
      <c r="Q63" s="10">
        <f>IFERROR(P63/K63,0)</f>
        <v/>
      </c>
      <c r="R63">
        <f>IFS(K63&gt;=50000,"High",K63&gt;=20000,"Medium",TRUE,"Low")</f>
        <v/>
      </c>
    </row>
    <row r="64">
      <c r="A64">
        <f>'01_Raw_Data'!A64</f>
        <v/>
      </c>
      <c r="B64" s="8">
        <f>'01_Raw_Data'!B64</f>
        <v/>
      </c>
      <c r="C64">
        <f>PROPER(TRIM('01_Raw_Data'!C64))</f>
        <v/>
      </c>
      <c r="D64">
        <f>PROPER(TRIM('01_Raw_Data'!D64))</f>
        <v/>
      </c>
      <c r="E64">
        <f>PROPER(TRIM('01_Raw_Data'!E64))</f>
        <v/>
      </c>
      <c r="F64">
        <f>PROPER(TRIM('01_Raw_Data'!F64))</f>
        <v/>
      </c>
      <c r="G64">
        <f>PROPER(TRIM('01_Raw_Data'!G64))</f>
        <v/>
      </c>
      <c r="H64">
        <f>PROPER(TRIM('01_Raw_Data'!H64))</f>
        <v/>
      </c>
      <c r="I64">
        <f>'01_Raw_Data'!I64</f>
        <v/>
      </c>
      <c r="J64" s="9">
        <f>'01_Raw_Data'!J64</f>
        <v/>
      </c>
      <c r="K64" s="9">
        <f>IFERROR(I64*J64,0)</f>
        <v/>
      </c>
      <c r="L64">
        <f>YEAR(B64)</f>
        <v/>
      </c>
      <c r="M64">
        <f>TEXT(B64,"mmm")</f>
        <v/>
      </c>
      <c r="N64">
        <f>PROPER(TRIM(E64))</f>
        <v/>
      </c>
      <c r="O64">
        <f>PROPER(TRIM(C64))</f>
        <v/>
      </c>
      <c r="P64" s="9">
        <f>K64*IFERROR(XLOOKUP(D64,'03_Lookups'!$E$5:$E$6,'03_Lookups'!$F$5:$F$6),0)</f>
        <v/>
      </c>
      <c r="Q64" s="10">
        <f>IFERROR(P64/K64,0)</f>
        <v/>
      </c>
      <c r="R64">
        <f>IFS(K64&gt;=50000,"High",K64&gt;=20000,"Medium",TRUE,"Low")</f>
        <v/>
      </c>
    </row>
    <row r="65">
      <c r="A65">
        <f>'01_Raw_Data'!A65</f>
        <v/>
      </c>
      <c r="B65" s="8">
        <f>'01_Raw_Data'!B65</f>
        <v/>
      </c>
      <c r="C65">
        <f>PROPER(TRIM('01_Raw_Data'!C65))</f>
        <v/>
      </c>
      <c r="D65">
        <f>PROPER(TRIM('01_Raw_Data'!D65))</f>
        <v/>
      </c>
      <c r="E65">
        <f>PROPER(TRIM('01_Raw_Data'!E65))</f>
        <v/>
      </c>
      <c r="F65">
        <f>PROPER(TRIM('01_Raw_Data'!F65))</f>
        <v/>
      </c>
      <c r="G65">
        <f>PROPER(TRIM('01_Raw_Data'!G65))</f>
        <v/>
      </c>
      <c r="H65">
        <f>PROPER(TRIM('01_Raw_Data'!H65))</f>
        <v/>
      </c>
      <c r="I65">
        <f>'01_Raw_Data'!I65</f>
        <v/>
      </c>
      <c r="J65" s="9">
        <f>'01_Raw_Data'!J65</f>
        <v/>
      </c>
      <c r="K65" s="9">
        <f>IFERROR(I65*J65,0)</f>
        <v/>
      </c>
      <c r="L65">
        <f>YEAR(B65)</f>
        <v/>
      </c>
      <c r="M65">
        <f>TEXT(B65,"mmm")</f>
        <v/>
      </c>
      <c r="N65">
        <f>PROPER(TRIM(E65))</f>
        <v/>
      </c>
      <c r="O65">
        <f>PROPER(TRIM(C65))</f>
        <v/>
      </c>
      <c r="P65" s="9">
        <f>K65*IFERROR(XLOOKUP(D65,'03_Lookups'!$E$5:$E$6,'03_Lookups'!$F$5:$F$6),0)</f>
        <v/>
      </c>
      <c r="Q65" s="10">
        <f>IFERROR(P65/K65,0)</f>
        <v/>
      </c>
      <c r="R65">
        <f>IFS(K65&gt;=50000,"High",K65&gt;=20000,"Medium",TRUE,"Low")</f>
        <v/>
      </c>
    </row>
    <row r="66">
      <c r="A66">
        <f>'01_Raw_Data'!A66</f>
        <v/>
      </c>
      <c r="B66" s="8">
        <f>'01_Raw_Data'!B66</f>
        <v/>
      </c>
      <c r="C66">
        <f>PROPER(TRIM('01_Raw_Data'!C66))</f>
        <v/>
      </c>
      <c r="D66">
        <f>PROPER(TRIM('01_Raw_Data'!D66))</f>
        <v/>
      </c>
      <c r="E66">
        <f>PROPER(TRIM('01_Raw_Data'!E66))</f>
        <v/>
      </c>
      <c r="F66">
        <f>PROPER(TRIM('01_Raw_Data'!F66))</f>
        <v/>
      </c>
      <c r="G66">
        <f>PROPER(TRIM('01_Raw_Data'!G66))</f>
        <v/>
      </c>
      <c r="H66">
        <f>PROPER(TRIM('01_Raw_Data'!H66))</f>
        <v/>
      </c>
      <c r="I66">
        <f>'01_Raw_Data'!I66</f>
        <v/>
      </c>
      <c r="J66" s="9">
        <f>'01_Raw_Data'!J66</f>
        <v/>
      </c>
      <c r="K66" s="9">
        <f>IFERROR(I66*J66,0)</f>
        <v/>
      </c>
      <c r="L66">
        <f>YEAR(B66)</f>
        <v/>
      </c>
      <c r="M66">
        <f>TEXT(B66,"mmm")</f>
        <v/>
      </c>
      <c r="N66">
        <f>PROPER(TRIM(E66))</f>
        <v/>
      </c>
      <c r="O66">
        <f>PROPER(TRIM(C66))</f>
        <v/>
      </c>
      <c r="P66" s="9">
        <f>K66*IFERROR(XLOOKUP(D66,'03_Lookups'!$E$5:$E$6,'03_Lookups'!$F$5:$F$6),0)</f>
        <v/>
      </c>
      <c r="Q66" s="10">
        <f>IFERROR(P66/K66,0)</f>
        <v/>
      </c>
      <c r="R66">
        <f>IFS(K66&gt;=50000,"High",K66&gt;=20000,"Medium",TRUE,"Low")</f>
        <v/>
      </c>
    </row>
    <row r="67">
      <c r="A67">
        <f>'01_Raw_Data'!A67</f>
        <v/>
      </c>
      <c r="B67" s="8">
        <f>'01_Raw_Data'!B67</f>
        <v/>
      </c>
      <c r="C67">
        <f>PROPER(TRIM('01_Raw_Data'!C67))</f>
        <v/>
      </c>
      <c r="D67">
        <f>PROPER(TRIM('01_Raw_Data'!D67))</f>
        <v/>
      </c>
      <c r="E67">
        <f>PROPER(TRIM('01_Raw_Data'!E67))</f>
        <v/>
      </c>
      <c r="F67">
        <f>PROPER(TRIM('01_Raw_Data'!F67))</f>
        <v/>
      </c>
      <c r="G67">
        <f>PROPER(TRIM('01_Raw_Data'!G67))</f>
        <v/>
      </c>
      <c r="H67">
        <f>PROPER(TRIM('01_Raw_Data'!H67))</f>
        <v/>
      </c>
      <c r="I67">
        <f>'01_Raw_Data'!I67</f>
        <v/>
      </c>
      <c r="J67" s="9">
        <f>'01_Raw_Data'!J67</f>
        <v/>
      </c>
      <c r="K67" s="9">
        <f>IFERROR(I67*J67,0)</f>
        <v/>
      </c>
      <c r="L67">
        <f>YEAR(B67)</f>
        <v/>
      </c>
      <c r="M67">
        <f>TEXT(B67,"mmm")</f>
        <v/>
      </c>
      <c r="N67">
        <f>PROPER(TRIM(E67))</f>
        <v/>
      </c>
      <c r="O67">
        <f>PROPER(TRIM(C67))</f>
        <v/>
      </c>
      <c r="P67" s="9">
        <f>K67*IFERROR(XLOOKUP(D67,'03_Lookups'!$E$5:$E$6,'03_Lookups'!$F$5:$F$6),0)</f>
        <v/>
      </c>
      <c r="Q67" s="10">
        <f>IFERROR(P67/K67,0)</f>
        <v/>
      </c>
      <c r="R67">
        <f>IFS(K67&gt;=50000,"High",K67&gt;=20000,"Medium",TRUE,"Low")</f>
        <v/>
      </c>
    </row>
    <row r="68">
      <c r="A68">
        <f>'01_Raw_Data'!A68</f>
        <v/>
      </c>
      <c r="B68" s="8">
        <f>'01_Raw_Data'!B68</f>
        <v/>
      </c>
      <c r="C68">
        <f>PROPER(TRIM('01_Raw_Data'!C68))</f>
        <v/>
      </c>
      <c r="D68">
        <f>PROPER(TRIM('01_Raw_Data'!D68))</f>
        <v/>
      </c>
      <c r="E68">
        <f>PROPER(TRIM('01_Raw_Data'!E68))</f>
        <v/>
      </c>
      <c r="F68">
        <f>PROPER(TRIM('01_Raw_Data'!F68))</f>
        <v/>
      </c>
      <c r="G68">
        <f>PROPER(TRIM('01_Raw_Data'!G68))</f>
        <v/>
      </c>
      <c r="H68">
        <f>PROPER(TRIM('01_Raw_Data'!H68))</f>
        <v/>
      </c>
      <c r="I68">
        <f>'01_Raw_Data'!I68</f>
        <v/>
      </c>
      <c r="J68" s="9">
        <f>'01_Raw_Data'!J68</f>
        <v/>
      </c>
      <c r="K68" s="9">
        <f>IFERROR(I68*J68,0)</f>
        <v/>
      </c>
      <c r="L68">
        <f>YEAR(B68)</f>
        <v/>
      </c>
      <c r="M68">
        <f>TEXT(B68,"mmm")</f>
        <v/>
      </c>
      <c r="N68">
        <f>PROPER(TRIM(E68))</f>
        <v/>
      </c>
      <c r="O68">
        <f>PROPER(TRIM(C68))</f>
        <v/>
      </c>
      <c r="P68" s="9">
        <f>K68*IFERROR(XLOOKUP(D68,'03_Lookups'!$E$5:$E$6,'03_Lookups'!$F$5:$F$6),0)</f>
        <v/>
      </c>
      <c r="Q68" s="10">
        <f>IFERROR(P68/K68,0)</f>
        <v/>
      </c>
      <c r="R68">
        <f>IFS(K68&gt;=50000,"High",K68&gt;=20000,"Medium",TRUE,"Low")</f>
        <v/>
      </c>
    </row>
    <row r="69">
      <c r="A69">
        <f>'01_Raw_Data'!A69</f>
        <v/>
      </c>
      <c r="B69" s="8">
        <f>'01_Raw_Data'!B69</f>
        <v/>
      </c>
      <c r="C69">
        <f>PROPER(TRIM('01_Raw_Data'!C69))</f>
        <v/>
      </c>
      <c r="D69">
        <f>PROPER(TRIM('01_Raw_Data'!D69))</f>
        <v/>
      </c>
      <c r="E69">
        <f>PROPER(TRIM('01_Raw_Data'!E69))</f>
        <v/>
      </c>
      <c r="F69">
        <f>PROPER(TRIM('01_Raw_Data'!F69))</f>
        <v/>
      </c>
      <c r="G69">
        <f>PROPER(TRIM('01_Raw_Data'!G69))</f>
        <v/>
      </c>
      <c r="H69">
        <f>PROPER(TRIM('01_Raw_Data'!H69))</f>
        <v/>
      </c>
      <c r="I69">
        <f>'01_Raw_Data'!I69</f>
        <v/>
      </c>
      <c r="J69" s="9">
        <f>'01_Raw_Data'!J69</f>
        <v/>
      </c>
      <c r="K69" s="9">
        <f>IFERROR(I69*J69,0)</f>
        <v/>
      </c>
      <c r="L69">
        <f>YEAR(B69)</f>
        <v/>
      </c>
      <c r="M69">
        <f>TEXT(B69,"mmm")</f>
        <v/>
      </c>
      <c r="N69">
        <f>PROPER(TRIM(E69))</f>
        <v/>
      </c>
      <c r="O69">
        <f>PROPER(TRIM(C69))</f>
        <v/>
      </c>
      <c r="P69" s="9">
        <f>K69*IFERROR(XLOOKUP(D69,'03_Lookups'!$E$5:$E$6,'03_Lookups'!$F$5:$F$6),0)</f>
        <v/>
      </c>
      <c r="Q69" s="10">
        <f>IFERROR(P69/K69,0)</f>
        <v/>
      </c>
      <c r="R69">
        <f>IFS(K69&gt;=50000,"High",K69&gt;=20000,"Medium",TRUE,"Low")</f>
        <v/>
      </c>
    </row>
    <row r="70">
      <c r="A70">
        <f>'01_Raw_Data'!A70</f>
        <v/>
      </c>
      <c r="B70" s="8">
        <f>'01_Raw_Data'!B70</f>
        <v/>
      </c>
      <c r="C70">
        <f>PROPER(TRIM('01_Raw_Data'!C70))</f>
        <v/>
      </c>
      <c r="D70">
        <f>PROPER(TRIM('01_Raw_Data'!D70))</f>
        <v/>
      </c>
      <c r="E70">
        <f>PROPER(TRIM('01_Raw_Data'!E70))</f>
        <v/>
      </c>
      <c r="F70">
        <f>PROPER(TRIM('01_Raw_Data'!F70))</f>
        <v/>
      </c>
      <c r="G70">
        <f>PROPER(TRIM('01_Raw_Data'!G70))</f>
        <v/>
      </c>
      <c r="H70">
        <f>PROPER(TRIM('01_Raw_Data'!H70))</f>
        <v/>
      </c>
      <c r="I70">
        <f>'01_Raw_Data'!I70</f>
        <v/>
      </c>
      <c r="J70" s="9">
        <f>'01_Raw_Data'!J70</f>
        <v/>
      </c>
      <c r="K70" s="9">
        <f>IFERROR(I70*J70,0)</f>
        <v/>
      </c>
      <c r="L70">
        <f>YEAR(B70)</f>
        <v/>
      </c>
      <c r="M70">
        <f>TEXT(B70,"mmm")</f>
        <v/>
      </c>
      <c r="N70">
        <f>PROPER(TRIM(E70))</f>
        <v/>
      </c>
      <c r="O70">
        <f>PROPER(TRIM(C70))</f>
        <v/>
      </c>
      <c r="P70" s="9">
        <f>K70*IFERROR(XLOOKUP(D70,'03_Lookups'!$E$5:$E$6,'03_Lookups'!$F$5:$F$6),0)</f>
        <v/>
      </c>
      <c r="Q70" s="10">
        <f>IFERROR(P70/K70,0)</f>
        <v/>
      </c>
      <c r="R70">
        <f>IFS(K70&gt;=50000,"High",K70&gt;=20000,"Medium",TRUE,"Low")</f>
        <v/>
      </c>
    </row>
    <row r="71">
      <c r="A71">
        <f>'01_Raw_Data'!A71</f>
        <v/>
      </c>
      <c r="B71" s="8">
        <f>'01_Raw_Data'!B71</f>
        <v/>
      </c>
      <c r="C71">
        <f>PROPER(TRIM('01_Raw_Data'!C71))</f>
        <v/>
      </c>
      <c r="D71">
        <f>PROPER(TRIM('01_Raw_Data'!D71))</f>
        <v/>
      </c>
      <c r="E71">
        <f>PROPER(TRIM('01_Raw_Data'!E71))</f>
        <v/>
      </c>
      <c r="F71">
        <f>PROPER(TRIM('01_Raw_Data'!F71))</f>
        <v/>
      </c>
      <c r="G71">
        <f>PROPER(TRIM('01_Raw_Data'!G71))</f>
        <v/>
      </c>
      <c r="H71">
        <f>PROPER(TRIM('01_Raw_Data'!H71))</f>
        <v/>
      </c>
      <c r="I71">
        <f>'01_Raw_Data'!I71</f>
        <v/>
      </c>
      <c r="J71" s="9">
        <f>'01_Raw_Data'!J71</f>
        <v/>
      </c>
      <c r="K71" s="9">
        <f>IFERROR(I71*J71,0)</f>
        <v/>
      </c>
      <c r="L71">
        <f>YEAR(B71)</f>
        <v/>
      </c>
      <c r="M71">
        <f>TEXT(B71,"mmm")</f>
        <v/>
      </c>
      <c r="N71">
        <f>PROPER(TRIM(E71))</f>
        <v/>
      </c>
      <c r="O71">
        <f>PROPER(TRIM(C71))</f>
        <v/>
      </c>
      <c r="P71" s="9">
        <f>K71*IFERROR(XLOOKUP(D71,'03_Lookups'!$E$5:$E$6,'03_Lookups'!$F$5:$F$6),0)</f>
        <v/>
      </c>
      <c r="Q71" s="10">
        <f>IFERROR(P71/K71,0)</f>
        <v/>
      </c>
      <c r="R71">
        <f>IFS(K71&gt;=50000,"High",K71&gt;=20000,"Medium",TRUE,"Low")</f>
        <v/>
      </c>
    </row>
    <row r="72">
      <c r="A72">
        <f>'01_Raw_Data'!A72</f>
        <v/>
      </c>
      <c r="B72" s="8">
        <f>'01_Raw_Data'!B72</f>
        <v/>
      </c>
      <c r="C72">
        <f>PROPER(TRIM('01_Raw_Data'!C72))</f>
        <v/>
      </c>
      <c r="D72">
        <f>PROPER(TRIM('01_Raw_Data'!D72))</f>
        <v/>
      </c>
      <c r="E72">
        <f>PROPER(TRIM('01_Raw_Data'!E72))</f>
        <v/>
      </c>
      <c r="F72">
        <f>PROPER(TRIM('01_Raw_Data'!F72))</f>
        <v/>
      </c>
      <c r="G72">
        <f>PROPER(TRIM('01_Raw_Data'!G72))</f>
        <v/>
      </c>
      <c r="H72">
        <f>PROPER(TRIM('01_Raw_Data'!H72))</f>
        <v/>
      </c>
      <c r="I72">
        <f>'01_Raw_Data'!I72</f>
        <v/>
      </c>
      <c r="J72" s="9">
        <f>'01_Raw_Data'!J72</f>
        <v/>
      </c>
      <c r="K72" s="9">
        <f>IFERROR(I72*J72,0)</f>
        <v/>
      </c>
      <c r="L72">
        <f>YEAR(B72)</f>
        <v/>
      </c>
      <c r="M72">
        <f>TEXT(B72,"mmm")</f>
        <v/>
      </c>
      <c r="N72">
        <f>PROPER(TRIM(E72))</f>
        <v/>
      </c>
      <c r="O72">
        <f>PROPER(TRIM(C72))</f>
        <v/>
      </c>
      <c r="P72" s="9">
        <f>K72*IFERROR(XLOOKUP(D72,'03_Lookups'!$E$5:$E$6,'03_Lookups'!$F$5:$F$6),0)</f>
        <v/>
      </c>
      <c r="Q72" s="10">
        <f>IFERROR(P72/K72,0)</f>
        <v/>
      </c>
      <c r="R72">
        <f>IFS(K72&gt;=50000,"High",K72&gt;=20000,"Medium",TRUE,"Low")</f>
        <v/>
      </c>
    </row>
    <row r="73">
      <c r="A73">
        <f>'01_Raw_Data'!A73</f>
        <v/>
      </c>
      <c r="B73" s="8">
        <f>'01_Raw_Data'!B73</f>
        <v/>
      </c>
      <c r="C73">
        <f>PROPER(TRIM('01_Raw_Data'!C73))</f>
        <v/>
      </c>
      <c r="D73">
        <f>PROPER(TRIM('01_Raw_Data'!D73))</f>
        <v/>
      </c>
      <c r="E73">
        <f>PROPER(TRIM('01_Raw_Data'!E73))</f>
        <v/>
      </c>
      <c r="F73">
        <f>PROPER(TRIM('01_Raw_Data'!F73))</f>
        <v/>
      </c>
      <c r="G73">
        <f>PROPER(TRIM('01_Raw_Data'!G73))</f>
        <v/>
      </c>
      <c r="H73">
        <f>PROPER(TRIM('01_Raw_Data'!H73))</f>
        <v/>
      </c>
      <c r="I73">
        <f>'01_Raw_Data'!I73</f>
        <v/>
      </c>
      <c r="J73" s="9">
        <f>'01_Raw_Data'!J73</f>
        <v/>
      </c>
      <c r="K73" s="9">
        <f>IFERROR(I73*J73,0)</f>
        <v/>
      </c>
      <c r="L73">
        <f>YEAR(B73)</f>
        <v/>
      </c>
      <c r="M73">
        <f>TEXT(B73,"mmm")</f>
        <v/>
      </c>
      <c r="N73">
        <f>PROPER(TRIM(E73))</f>
        <v/>
      </c>
      <c r="O73">
        <f>PROPER(TRIM(C73))</f>
        <v/>
      </c>
      <c r="P73" s="9">
        <f>K73*IFERROR(XLOOKUP(D73,'03_Lookups'!$E$5:$E$6,'03_Lookups'!$F$5:$F$6),0)</f>
        <v/>
      </c>
      <c r="Q73" s="10">
        <f>IFERROR(P73/K73,0)</f>
        <v/>
      </c>
      <c r="R73">
        <f>IFS(K73&gt;=50000,"High",K73&gt;=20000,"Medium",TRUE,"Low")</f>
        <v/>
      </c>
    </row>
    <row r="74">
      <c r="A74">
        <f>'01_Raw_Data'!A74</f>
        <v/>
      </c>
      <c r="B74" s="8">
        <f>'01_Raw_Data'!B74</f>
        <v/>
      </c>
      <c r="C74">
        <f>PROPER(TRIM('01_Raw_Data'!C74))</f>
        <v/>
      </c>
      <c r="D74">
        <f>PROPER(TRIM('01_Raw_Data'!D74))</f>
        <v/>
      </c>
      <c r="E74">
        <f>PROPER(TRIM('01_Raw_Data'!E74))</f>
        <v/>
      </c>
      <c r="F74">
        <f>PROPER(TRIM('01_Raw_Data'!F74))</f>
        <v/>
      </c>
      <c r="G74">
        <f>PROPER(TRIM('01_Raw_Data'!G74))</f>
        <v/>
      </c>
      <c r="H74">
        <f>PROPER(TRIM('01_Raw_Data'!H74))</f>
        <v/>
      </c>
      <c r="I74">
        <f>'01_Raw_Data'!I74</f>
        <v/>
      </c>
      <c r="J74" s="9">
        <f>'01_Raw_Data'!J74</f>
        <v/>
      </c>
      <c r="K74" s="9">
        <f>IFERROR(I74*J74,0)</f>
        <v/>
      </c>
      <c r="L74">
        <f>YEAR(B74)</f>
        <v/>
      </c>
      <c r="M74">
        <f>TEXT(B74,"mmm")</f>
        <v/>
      </c>
      <c r="N74">
        <f>PROPER(TRIM(E74))</f>
        <v/>
      </c>
      <c r="O74">
        <f>PROPER(TRIM(C74))</f>
        <v/>
      </c>
      <c r="P74" s="9">
        <f>K74*IFERROR(XLOOKUP(D74,'03_Lookups'!$E$5:$E$6,'03_Lookups'!$F$5:$F$6),0)</f>
        <v/>
      </c>
      <c r="Q74" s="10">
        <f>IFERROR(P74/K74,0)</f>
        <v/>
      </c>
      <c r="R74">
        <f>IFS(K74&gt;=50000,"High",K74&gt;=20000,"Medium",TRUE,"Low")</f>
        <v/>
      </c>
    </row>
    <row r="75">
      <c r="A75">
        <f>'01_Raw_Data'!A75</f>
        <v/>
      </c>
      <c r="B75" s="8">
        <f>'01_Raw_Data'!B75</f>
        <v/>
      </c>
      <c r="C75">
        <f>PROPER(TRIM('01_Raw_Data'!C75))</f>
        <v/>
      </c>
      <c r="D75">
        <f>PROPER(TRIM('01_Raw_Data'!D75))</f>
        <v/>
      </c>
      <c r="E75">
        <f>PROPER(TRIM('01_Raw_Data'!E75))</f>
        <v/>
      </c>
      <c r="F75">
        <f>PROPER(TRIM('01_Raw_Data'!F75))</f>
        <v/>
      </c>
      <c r="G75">
        <f>PROPER(TRIM('01_Raw_Data'!G75))</f>
        <v/>
      </c>
      <c r="H75">
        <f>PROPER(TRIM('01_Raw_Data'!H75))</f>
        <v/>
      </c>
      <c r="I75">
        <f>'01_Raw_Data'!I75</f>
        <v/>
      </c>
      <c r="J75" s="9">
        <f>'01_Raw_Data'!J75</f>
        <v/>
      </c>
      <c r="K75" s="9">
        <f>IFERROR(I75*J75,0)</f>
        <v/>
      </c>
      <c r="L75">
        <f>YEAR(B75)</f>
        <v/>
      </c>
      <c r="M75">
        <f>TEXT(B75,"mmm")</f>
        <v/>
      </c>
      <c r="N75">
        <f>PROPER(TRIM(E75))</f>
        <v/>
      </c>
      <c r="O75">
        <f>PROPER(TRIM(C75))</f>
        <v/>
      </c>
      <c r="P75" s="9">
        <f>K75*IFERROR(XLOOKUP(D75,'03_Lookups'!$E$5:$E$6,'03_Lookups'!$F$5:$F$6),0)</f>
        <v/>
      </c>
      <c r="Q75" s="10">
        <f>IFERROR(P75/K75,0)</f>
        <v/>
      </c>
      <c r="R75">
        <f>IFS(K75&gt;=50000,"High",K75&gt;=20000,"Medium",TRUE,"Low")</f>
        <v/>
      </c>
    </row>
    <row r="76">
      <c r="A76">
        <f>'01_Raw_Data'!A76</f>
        <v/>
      </c>
      <c r="B76" s="8">
        <f>'01_Raw_Data'!B76</f>
        <v/>
      </c>
      <c r="C76">
        <f>PROPER(TRIM('01_Raw_Data'!C76))</f>
        <v/>
      </c>
      <c r="D76">
        <f>PROPER(TRIM('01_Raw_Data'!D76))</f>
        <v/>
      </c>
      <c r="E76">
        <f>PROPER(TRIM('01_Raw_Data'!E76))</f>
        <v/>
      </c>
      <c r="F76">
        <f>PROPER(TRIM('01_Raw_Data'!F76))</f>
        <v/>
      </c>
      <c r="G76">
        <f>PROPER(TRIM('01_Raw_Data'!G76))</f>
        <v/>
      </c>
      <c r="H76">
        <f>PROPER(TRIM('01_Raw_Data'!H76))</f>
        <v/>
      </c>
      <c r="I76">
        <f>'01_Raw_Data'!I76</f>
        <v/>
      </c>
      <c r="J76" s="9">
        <f>'01_Raw_Data'!J76</f>
        <v/>
      </c>
      <c r="K76" s="9">
        <f>IFERROR(I76*J76,0)</f>
        <v/>
      </c>
      <c r="L76">
        <f>YEAR(B76)</f>
        <v/>
      </c>
      <c r="M76">
        <f>TEXT(B76,"mmm")</f>
        <v/>
      </c>
      <c r="N76">
        <f>PROPER(TRIM(E76))</f>
        <v/>
      </c>
      <c r="O76">
        <f>PROPER(TRIM(C76))</f>
        <v/>
      </c>
      <c r="P76" s="9">
        <f>K76*IFERROR(XLOOKUP(D76,'03_Lookups'!$E$5:$E$6,'03_Lookups'!$F$5:$F$6),0)</f>
        <v/>
      </c>
      <c r="Q76" s="10">
        <f>IFERROR(P76/K76,0)</f>
        <v/>
      </c>
      <c r="R76">
        <f>IFS(K76&gt;=50000,"High",K76&gt;=20000,"Medium",TRUE,"Low")</f>
        <v/>
      </c>
    </row>
    <row r="77">
      <c r="A77">
        <f>'01_Raw_Data'!A77</f>
        <v/>
      </c>
      <c r="B77" s="8">
        <f>'01_Raw_Data'!B77</f>
        <v/>
      </c>
      <c r="C77">
        <f>PROPER(TRIM('01_Raw_Data'!C77))</f>
        <v/>
      </c>
      <c r="D77">
        <f>PROPER(TRIM('01_Raw_Data'!D77))</f>
        <v/>
      </c>
      <c r="E77">
        <f>PROPER(TRIM('01_Raw_Data'!E77))</f>
        <v/>
      </c>
      <c r="F77">
        <f>PROPER(TRIM('01_Raw_Data'!F77))</f>
        <v/>
      </c>
      <c r="G77">
        <f>PROPER(TRIM('01_Raw_Data'!G77))</f>
        <v/>
      </c>
      <c r="H77">
        <f>PROPER(TRIM('01_Raw_Data'!H77))</f>
        <v/>
      </c>
      <c r="I77">
        <f>'01_Raw_Data'!I77</f>
        <v/>
      </c>
      <c r="J77" s="9">
        <f>'01_Raw_Data'!J77</f>
        <v/>
      </c>
      <c r="K77" s="9">
        <f>IFERROR(I77*J77,0)</f>
        <v/>
      </c>
      <c r="L77">
        <f>YEAR(B77)</f>
        <v/>
      </c>
      <c r="M77">
        <f>TEXT(B77,"mmm")</f>
        <v/>
      </c>
      <c r="N77">
        <f>PROPER(TRIM(E77))</f>
        <v/>
      </c>
      <c r="O77">
        <f>PROPER(TRIM(C77))</f>
        <v/>
      </c>
      <c r="P77" s="9">
        <f>K77*IFERROR(XLOOKUP(D77,'03_Lookups'!$E$5:$E$6,'03_Lookups'!$F$5:$F$6),0)</f>
        <v/>
      </c>
      <c r="Q77" s="10">
        <f>IFERROR(P77/K77,0)</f>
        <v/>
      </c>
      <c r="R77">
        <f>IFS(K77&gt;=50000,"High",K77&gt;=20000,"Medium",TRUE,"Low")</f>
        <v/>
      </c>
    </row>
    <row r="78">
      <c r="A78">
        <f>'01_Raw_Data'!A78</f>
        <v/>
      </c>
      <c r="B78" s="8">
        <f>'01_Raw_Data'!B78</f>
        <v/>
      </c>
      <c r="C78">
        <f>PROPER(TRIM('01_Raw_Data'!C78))</f>
        <v/>
      </c>
      <c r="D78">
        <f>PROPER(TRIM('01_Raw_Data'!D78))</f>
        <v/>
      </c>
      <c r="E78">
        <f>PROPER(TRIM('01_Raw_Data'!E78))</f>
        <v/>
      </c>
      <c r="F78">
        <f>PROPER(TRIM('01_Raw_Data'!F78))</f>
        <v/>
      </c>
      <c r="G78">
        <f>PROPER(TRIM('01_Raw_Data'!G78))</f>
        <v/>
      </c>
      <c r="H78">
        <f>PROPER(TRIM('01_Raw_Data'!H78))</f>
        <v/>
      </c>
      <c r="I78">
        <f>'01_Raw_Data'!I78</f>
        <v/>
      </c>
      <c r="J78" s="9">
        <f>'01_Raw_Data'!J78</f>
        <v/>
      </c>
      <c r="K78" s="9">
        <f>IFERROR(I78*J78,0)</f>
        <v/>
      </c>
      <c r="L78">
        <f>YEAR(B78)</f>
        <v/>
      </c>
      <c r="M78">
        <f>TEXT(B78,"mmm")</f>
        <v/>
      </c>
      <c r="N78">
        <f>PROPER(TRIM(E78))</f>
        <v/>
      </c>
      <c r="O78">
        <f>PROPER(TRIM(C78))</f>
        <v/>
      </c>
      <c r="P78" s="9">
        <f>K78*IFERROR(XLOOKUP(D78,'03_Lookups'!$E$5:$E$6,'03_Lookups'!$F$5:$F$6),0)</f>
        <v/>
      </c>
      <c r="Q78" s="10">
        <f>IFERROR(P78/K78,0)</f>
        <v/>
      </c>
      <c r="R78">
        <f>IFS(K78&gt;=50000,"High",K78&gt;=20000,"Medium",TRUE,"Low")</f>
        <v/>
      </c>
    </row>
    <row r="79">
      <c r="A79">
        <f>'01_Raw_Data'!A79</f>
        <v/>
      </c>
      <c r="B79" s="8">
        <f>'01_Raw_Data'!B79</f>
        <v/>
      </c>
      <c r="C79">
        <f>PROPER(TRIM('01_Raw_Data'!C79))</f>
        <v/>
      </c>
      <c r="D79">
        <f>PROPER(TRIM('01_Raw_Data'!D79))</f>
        <v/>
      </c>
      <c r="E79">
        <f>PROPER(TRIM('01_Raw_Data'!E79))</f>
        <v/>
      </c>
      <c r="F79">
        <f>PROPER(TRIM('01_Raw_Data'!F79))</f>
        <v/>
      </c>
      <c r="G79">
        <f>PROPER(TRIM('01_Raw_Data'!G79))</f>
        <v/>
      </c>
      <c r="H79">
        <f>PROPER(TRIM('01_Raw_Data'!H79))</f>
        <v/>
      </c>
      <c r="I79">
        <f>'01_Raw_Data'!I79</f>
        <v/>
      </c>
      <c r="J79" s="9">
        <f>'01_Raw_Data'!J79</f>
        <v/>
      </c>
      <c r="K79" s="9">
        <f>IFERROR(I79*J79,0)</f>
        <v/>
      </c>
      <c r="L79">
        <f>YEAR(B79)</f>
        <v/>
      </c>
      <c r="M79">
        <f>TEXT(B79,"mmm")</f>
        <v/>
      </c>
      <c r="N79">
        <f>PROPER(TRIM(E79))</f>
        <v/>
      </c>
      <c r="O79">
        <f>PROPER(TRIM(C79))</f>
        <v/>
      </c>
      <c r="P79" s="9">
        <f>K79*IFERROR(XLOOKUP(D79,'03_Lookups'!$E$5:$E$6,'03_Lookups'!$F$5:$F$6),0)</f>
        <v/>
      </c>
      <c r="Q79" s="10">
        <f>IFERROR(P79/K79,0)</f>
        <v/>
      </c>
      <c r="R79">
        <f>IFS(K79&gt;=50000,"High",K79&gt;=20000,"Medium",TRUE,"Low")</f>
        <v/>
      </c>
    </row>
    <row r="80">
      <c r="A80">
        <f>'01_Raw_Data'!A80</f>
        <v/>
      </c>
      <c r="B80" s="8">
        <f>'01_Raw_Data'!B80</f>
        <v/>
      </c>
      <c r="C80">
        <f>PROPER(TRIM('01_Raw_Data'!C80))</f>
        <v/>
      </c>
      <c r="D80">
        <f>PROPER(TRIM('01_Raw_Data'!D80))</f>
        <v/>
      </c>
      <c r="E80">
        <f>PROPER(TRIM('01_Raw_Data'!E80))</f>
        <v/>
      </c>
      <c r="F80">
        <f>PROPER(TRIM('01_Raw_Data'!F80))</f>
        <v/>
      </c>
      <c r="G80">
        <f>PROPER(TRIM('01_Raw_Data'!G80))</f>
        <v/>
      </c>
      <c r="H80">
        <f>PROPER(TRIM('01_Raw_Data'!H80))</f>
        <v/>
      </c>
      <c r="I80">
        <f>'01_Raw_Data'!I80</f>
        <v/>
      </c>
      <c r="J80" s="9">
        <f>'01_Raw_Data'!J80</f>
        <v/>
      </c>
      <c r="K80" s="9">
        <f>IFERROR(I80*J80,0)</f>
        <v/>
      </c>
      <c r="L80">
        <f>YEAR(B80)</f>
        <v/>
      </c>
      <c r="M80">
        <f>TEXT(B80,"mmm")</f>
        <v/>
      </c>
      <c r="N80">
        <f>PROPER(TRIM(E80))</f>
        <v/>
      </c>
      <c r="O80">
        <f>PROPER(TRIM(C80))</f>
        <v/>
      </c>
      <c r="P80" s="9">
        <f>K80*IFERROR(XLOOKUP(D80,'03_Lookups'!$E$5:$E$6,'03_Lookups'!$F$5:$F$6),0)</f>
        <v/>
      </c>
      <c r="Q80" s="10">
        <f>IFERROR(P80/K80,0)</f>
        <v/>
      </c>
      <c r="R80">
        <f>IFS(K80&gt;=50000,"High",K80&gt;=20000,"Medium",TRUE,"Low")</f>
        <v/>
      </c>
    </row>
    <row r="81">
      <c r="A81">
        <f>'01_Raw_Data'!A81</f>
        <v/>
      </c>
      <c r="B81" s="8">
        <f>'01_Raw_Data'!B81</f>
        <v/>
      </c>
      <c r="C81">
        <f>PROPER(TRIM('01_Raw_Data'!C81))</f>
        <v/>
      </c>
      <c r="D81">
        <f>PROPER(TRIM('01_Raw_Data'!D81))</f>
        <v/>
      </c>
      <c r="E81">
        <f>PROPER(TRIM('01_Raw_Data'!E81))</f>
        <v/>
      </c>
      <c r="F81">
        <f>PROPER(TRIM('01_Raw_Data'!F81))</f>
        <v/>
      </c>
      <c r="G81">
        <f>PROPER(TRIM('01_Raw_Data'!G81))</f>
        <v/>
      </c>
      <c r="H81">
        <f>PROPER(TRIM('01_Raw_Data'!H81))</f>
        <v/>
      </c>
      <c r="I81">
        <f>'01_Raw_Data'!I81</f>
        <v/>
      </c>
      <c r="J81" s="9">
        <f>'01_Raw_Data'!J81</f>
        <v/>
      </c>
      <c r="K81" s="9">
        <f>IFERROR(I81*J81,0)</f>
        <v/>
      </c>
      <c r="L81">
        <f>YEAR(B81)</f>
        <v/>
      </c>
      <c r="M81">
        <f>TEXT(B81,"mmm")</f>
        <v/>
      </c>
      <c r="N81">
        <f>PROPER(TRIM(E81))</f>
        <v/>
      </c>
      <c r="O81">
        <f>PROPER(TRIM(C81))</f>
        <v/>
      </c>
      <c r="P81" s="9">
        <f>K81*IFERROR(XLOOKUP(D81,'03_Lookups'!$E$5:$E$6,'03_Lookups'!$F$5:$F$6),0)</f>
        <v/>
      </c>
      <c r="Q81" s="10">
        <f>IFERROR(P81/K81,0)</f>
        <v/>
      </c>
      <c r="R81">
        <f>IFS(K81&gt;=50000,"High",K81&gt;=20000,"Medium",TRUE,"Low")</f>
        <v/>
      </c>
    </row>
    <row r="82">
      <c r="A82">
        <f>'01_Raw_Data'!A82</f>
        <v/>
      </c>
      <c r="B82" s="8">
        <f>'01_Raw_Data'!B82</f>
        <v/>
      </c>
      <c r="C82">
        <f>PROPER(TRIM('01_Raw_Data'!C82))</f>
        <v/>
      </c>
      <c r="D82">
        <f>PROPER(TRIM('01_Raw_Data'!D82))</f>
        <v/>
      </c>
      <c r="E82">
        <f>PROPER(TRIM('01_Raw_Data'!E82))</f>
        <v/>
      </c>
      <c r="F82">
        <f>PROPER(TRIM('01_Raw_Data'!F82))</f>
        <v/>
      </c>
      <c r="G82">
        <f>PROPER(TRIM('01_Raw_Data'!G82))</f>
        <v/>
      </c>
      <c r="H82">
        <f>PROPER(TRIM('01_Raw_Data'!H82))</f>
        <v/>
      </c>
      <c r="I82">
        <f>'01_Raw_Data'!I82</f>
        <v/>
      </c>
      <c r="J82" s="9">
        <f>'01_Raw_Data'!J82</f>
        <v/>
      </c>
      <c r="K82" s="9">
        <f>IFERROR(I82*J82,0)</f>
        <v/>
      </c>
      <c r="L82">
        <f>YEAR(B82)</f>
        <v/>
      </c>
      <c r="M82">
        <f>TEXT(B82,"mmm")</f>
        <v/>
      </c>
      <c r="N82">
        <f>PROPER(TRIM(E82))</f>
        <v/>
      </c>
      <c r="O82">
        <f>PROPER(TRIM(C82))</f>
        <v/>
      </c>
      <c r="P82" s="9">
        <f>K82*IFERROR(XLOOKUP(D82,'03_Lookups'!$E$5:$E$6,'03_Lookups'!$F$5:$F$6),0)</f>
        <v/>
      </c>
      <c r="Q82" s="10">
        <f>IFERROR(P82/K82,0)</f>
        <v/>
      </c>
      <c r="R82">
        <f>IFS(K82&gt;=50000,"High",K82&gt;=20000,"Medium",TRUE,"Low")</f>
        <v/>
      </c>
    </row>
    <row r="83">
      <c r="A83">
        <f>'01_Raw_Data'!A83</f>
        <v/>
      </c>
      <c r="B83" s="8">
        <f>'01_Raw_Data'!B83</f>
        <v/>
      </c>
      <c r="C83">
        <f>PROPER(TRIM('01_Raw_Data'!C83))</f>
        <v/>
      </c>
      <c r="D83">
        <f>PROPER(TRIM('01_Raw_Data'!D83))</f>
        <v/>
      </c>
      <c r="E83">
        <f>PROPER(TRIM('01_Raw_Data'!E83))</f>
        <v/>
      </c>
      <c r="F83">
        <f>PROPER(TRIM('01_Raw_Data'!F83))</f>
        <v/>
      </c>
      <c r="G83">
        <f>PROPER(TRIM('01_Raw_Data'!G83))</f>
        <v/>
      </c>
      <c r="H83">
        <f>PROPER(TRIM('01_Raw_Data'!H83))</f>
        <v/>
      </c>
      <c r="I83">
        <f>'01_Raw_Data'!I83</f>
        <v/>
      </c>
      <c r="J83" s="9">
        <f>'01_Raw_Data'!J83</f>
        <v/>
      </c>
      <c r="K83" s="9">
        <f>IFERROR(I83*J83,0)</f>
        <v/>
      </c>
      <c r="L83">
        <f>YEAR(B83)</f>
        <v/>
      </c>
      <c r="M83">
        <f>TEXT(B83,"mmm")</f>
        <v/>
      </c>
      <c r="N83">
        <f>PROPER(TRIM(E83))</f>
        <v/>
      </c>
      <c r="O83">
        <f>PROPER(TRIM(C83))</f>
        <v/>
      </c>
      <c r="P83" s="9">
        <f>K83*IFERROR(XLOOKUP(D83,'03_Lookups'!$E$5:$E$6,'03_Lookups'!$F$5:$F$6),0)</f>
        <v/>
      </c>
      <c r="Q83" s="10">
        <f>IFERROR(P83/K83,0)</f>
        <v/>
      </c>
      <c r="R83">
        <f>IFS(K83&gt;=50000,"High",K83&gt;=20000,"Medium",TRUE,"Low")</f>
        <v/>
      </c>
    </row>
    <row r="84">
      <c r="A84">
        <f>'01_Raw_Data'!A84</f>
        <v/>
      </c>
      <c r="B84" s="8">
        <f>'01_Raw_Data'!B84</f>
        <v/>
      </c>
      <c r="C84">
        <f>PROPER(TRIM('01_Raw_Data'!C84))</f>
        <v/>
      </c>
      <c r="D84">
        <f>PROPER(TRIM('01_Raw_Data'!D84))</f>
        <v/>
      </c>
      <c r="E84">
        <f>PROPER(TRIM('01_Raw_Data'!E84))</f>
        <v/>
      </c>
      <c r="F84">
        <f>PROPER(TRIM('01_Raw_Data'!F84))</f>
        <v/>
      </c>
      <c r="G84">
        <f>PROPER(TRIM('01_Raw_Data'!G84))</f>
        <v/>
      </c>
      <c r="H84">
        <f>PROPER(TRIM('01_Raw_Data'!H84))</f>
        <v/>
      </c>
      <c r="I84">
        <f>'01_Raw_Data'!I84</f>
        <v/>
      </c>
      <c r="J84" s="9">
        <f>'01_Raw_Data'!J84</f>
        <v/>
      </c>
      <c r="K84" s="9">
        <f>IFERROR(I84*J84,0)</f>
        <v/>
      </c>
      <c r="L84">
        <f>YEAR(B84)</f>
        <v/>
      </c>
      <c r="M84">
        <f>TEXT(B84,"mmm")</f>
        <v/>
      </c>
      <c r="N84">
        <f>PROPER(TRIM(E84))</f>
        <v/>
      </c>
      <c r="O84">
        <f>PROPER(TRIM(C84))</f>
        <v/>
      </c>
      <c r="P84" s="9">
        <f>K84*IFERROR(XLOOKUP(D84,'03_Lookups'!$E$5:$E$6,'03_Lookups'!$F$5:$F$6),0)</f>
        <v/>
      </c>
      <c r="Q84" s="10">
        <f>IFERROR(P84/K84,0)</f>
        <v/>
      </c>
      <c r="R84">
        <f>IFS(K84&gt;=50000,"High",K84&gt;=20000,"Medium",TRUE,"Low")</f>
        <v/>
      </c>
    </row>
    <row r="85">
      <c r="A85">
        <f>'01_Raw_Data'!A85</f>
        <v/>
      </c>
      <c r="B85" s="8">
        <f>'01_Raw_Data'!B85</f>
        <v/>
      </c>
      <c r="C85">
        <f>PROPER(TRIM('01_Raw_Data'!C85))</f>
        <v/>
      </c>
      <c r="D85">
        <f>PROPER(TRIM('01_Raw_Data'!D85))</f>
        <v/>
      </c>
      <c r="E85">
        <f>PROPER(TRIM('01_Raw_Data'!E85))</f>
        <v/>
      </c>
      <c r="F85">
        <f>PROPER(TRIM('01_Raw_Data'!F85))</f>
        <v/>
      </c>
      <c r="G85">
        <f>PROPER(TRIM('01_Raw_Data'!G85))</f>
        <v/>
      </c>
      <c r="H85">
        <f>PROPER(TRIM('01_Raw_Data'!H85))</f>
        <v/>
      </c>
      <c r="I85">
        <f>'01_Raw_Data'!I85</f>
        <v/>
      </c>
      <c r="J85" s="9">
        <f>'01_Raw_Data'!J85</f>
        <v/>
      </c>
      <c r="K85" s="9">
        <f>IFERROR(I85*J85,0)</f>
        <v/>
      </c>
      <c r="L85">
        <f>YEAR(B85)</f>
        <v/>
      </c>
      <c r="M85">
        <f>TEXT(B85,"mmm")</f>
        <v/>
      </c>
      <c r="N85">
        <f>PROPER(TRIM(E85))</f>
        <v/>
      </c>
      <c r="O85">
        <f>PROPER(TRIM(C85))</f>
        <v/>
      </c>
      <c r="P85" s="9">
        <f>K85*IFERROR(XLOOKUP(D85,'03_Lookups'!$E$5:$E$6,'03_Lookups'!$F$5:$F$6),0)</f>
        <v/>
      </c>
      <c r="Q85" s="10">
        <f>IFERROR(P85/K85,0)</f>
        <v/>
      </c>
      <c r="R85">
        <f>IFS(K85&gt;=50000,"High",K85&gt;=20000,"Medium",TRUE,"Low")</f>
        <v/>
      </c>
    </row>
    <row r="86">
      <c r="A86">
        <f>'01_Raw_Data'!A86</f>
        <v/>
      </c>
      <c r="B86" s="8">
        <f>'01_Raw_Data'!B86</f>
        <v/>
      </c>
      <c r="C86">
        <f>PROPER(TRIM('01_Raw_Data'!C86))</f>
        <v/>
      </c>
      <c r="D86">
        <f>PROPER(TRIM('01_Raw_Data'!D86))</f>
        <v/>
      </c>
      <c r="E86">
        <f>PROPER(TRIM('01_Raw_Data'!E86))</f>
        <v/>
      </c>
      <c r="F86">
        <f>PROPER(TRIM('01_Raw_Data'!F86))</f>
        <v/>
      </c>
      <c r="G86">
        <f>PROPER(TRIM('01_Raw_Data'!G86))</f>
        <v/>
      </c>
      <c r="H86">
        <f>PROPER(TRIM('01_Raw_Data'!H86))</f>
        <v/>
      </c>
      <c r="I86">
        <f>'01_Raw_Data'!I86</f>
        <v/>
      </c>
      <c r="J86" s="9">
        <f>'01_Raw_Data'!J86</f>
        <v/>
      </c>
      <c r="K86" s="9">
        <f>IFERROR(I86*J86,0)</f>
        <v/>
      </c>
      <c r="L86">
        <f>YEAR(B86)</f>
        <v/>
      </c>
      <c r="M86">
        <f>TEXT(B86,"mmm")</f>
        <v/>
      </c>
      <c r="N86">
        <f>PROPER(TRIM(E86))</f>
        <v/>
      </c>
      <c r="O86">
        <f>PROPER(TRIM(C86))</f>
        <v/>
      </c>
      <c r="P86" s="9">
        <f>K86*IFERROR(XLOOKUP(D86,'03_Lookups'!$E$5:$E$6,'03_Lookups'!$F$5:$F$6),0)</f>
        <v/>
      </c>
      <c r="Q86" s="10">
        <f>IFERROR(P86/K86,0)</f>
        <v/>
      </c>
      <c r="R86">
        <f>IFS(K86&gt;=50000,"High",K86&gt;=20000,"Medium",TRUE,"Low")</f>
        <v/>
      </c>
    </row>
    <row r="87">
      <c r="A87">
        <f>'01_Raw_Data'!A87</f>
        <v/>
      </c>
      <c r="B87" s="8">
        <f>'01_Raw_Data'!B87</f>
        <v/>
      </c>
      <c r="C87">
        <f>PROPER(TRIM('01_Raw_Data'!C87))</f>
        <v/>
      </c>
      <c r="D87">
        <f>PROPER(TRIM('01_Raw_Data'!D87))</f>
        <v/>
      </c>
      <c r="E87">
        <f>PROPER(TRIM('01_Raw_Data'!E87))</f>
        <v/>
      </c>
      <c r="F87">
        <f>PROPER(TRIM('01_Raw_Data'!F87))</f>
        <v/>
      </c>
      <c r="G87">
        <f>PROPER(TRIM('01_Raw_Data'!G87))</f>
        <v/>
      </c>
      <c r="H87">
        <f>PROPER(TRIM('01_Raw_Data'!H87))</f>
        <v/>
      </c>
      <c r="I87">
        <f>'01_Raw_Data'!I87</f>
        <v/>
      </c>
      <c r="J87" s="9">
        <f>'01_Raw_Data'!J87</f>
        <v/>
      </c>
      <c r="K87" s="9">
        <f>IFERROR(I87*J87,0)</f>
        <v/>
      </c>
      <c r="L87">
        <f>YEAR(B87)</f>
        <v/>
      </c>
      <c r="M87">
        <f>TEXT(B87,"mmm")</f>
        <v/>
      </c>
      <c r="N87">
        <f>PROPER(TRIM(E87))</f>
        <v/>
      </c>
      <c r="O87">
        <f>PROPER(TRIM(C87))</f>
        <v/>
      </c>
      <c r="P87" s="9">
        <f>K87*IFERROR(XLOOKUP(D87,'03_Lookups'!$E$5:$E$6,'03_Lookups'!$F$5:$F$6),0)</f>
        <v/>
      </c>
      <c r="Q87" s="10">
        <f>IFERROR(P87/K87,0)</f>
        <v/>
      </c>
      <c r="R87">
        <f>IFS(K87&gt;=50000,"High",K87&gt;=20000,"Medium",TRUE,"Low")</f>
        <v/>
      </c>
    </row>
    <row r="88">
      <c r="A88">
        <f>'01_Raw_Data'!A88</f>
        <v/>
      </c>
      <c r="B88" s="8">
        <f>'01_Raw_Data'!B88</f>
        <v/>
      </c>
      <c r="C88">
        <f>PROPER(TRIM('01_Raw_Data'!C88))</f>
        <v/>
      </c>
      <c r="D88">
        <f>PROPER(TRIM('01_Raw_Data'!D88))</f>
        <v/>
      </c>
      <c r="E88">
        <f>PROPER(TRIM('01_Raw_Data'!E88))</f>
        <v/>
      </c>
      <c r="F88">
        <f>PROPER(TRIM('01_Raw_Data'!F88))</f>
        <v/>
      </c>
      <c r="G88">
        <f>PROPER(TRIM('01_Raw_Data'!G88))</f>
        <v/>
      </c>
      <c r="H88">
        <f>PROPER(TRIM('01_Raw_Data'!H88))</f>
        <v/>
      </c>
      <c r="I88">
        <f>'01_Raw_Data'!I88</f>
        <v/>
      </c>
      <c r="J88" s="9">
        <f>'01_Raw_Data'!J88</f>
        <v/>
      </c>
      <c r="K88" s="9">
        <f>IFERROR(I88*J88,0)</f>
        <v/>
      </c>
      <c r="L88">
        <f>YEAR(B88)</f>
        <v/>
      </c>
      <c r="M88">
        <f>TEXT(B88,"mmm")</f>
        <v/>
      </c>
      <c r="N88">
        <f>PROPER(TRIM(E88))</f>
        <v/>
      </c>
      <c r="O88">
        <f>PROPER(TRIM(C88))</f>
        <v/>
      </c>
      <c r="P88" s="9">
        <f>K88*IFERROR(XLOOKUP(D88,'03_Lookups'!$E$5:$E$6,'03_Lookups'!$F$5:$F$6),0)</f>
        <v/>
      </c>
      <c r="Q88" s="10">
        <f>IFERROR(P88/K88,0)</f>
        <v/>
      </c>
      <c r="R88">
        <f>IFS(K88&gt;=50000,"High",K88&gt;=20000,"Medium",TRUE,"Low")</f>
        <v/>
      </c>
    </row>
    <row r="89">
      <c r="A89">
        <f>'01_Raw_Data'!A89</f>
        <v/>
      </c>
      <c r="B89" s="8">
        <f>'01_Raw_Data'!B89</f>
        <v/>
      </c>
      <c r="C89">
        <f>PROPER(TRIM('01_Raw_Data'!C89))</f>
        <v/>
      </c>
      <c r="D89">
        <f>PROPER(TRIM('01_Raw_Data'!D89))</f>
        <v/>
      </c>
      <c r="E89">
        <f>PROPER(TRIM('01_Raw_Data'!E89))</f>
        <v/>
      </c>
      <c r="F89">
        <f>PROPER(TRIM('01_Raw_Data'!F89))</f>
        <v/>
      </c>
      <c r="G89">
        <f>PROPER(TRIM('01_Raw_Data'!G89))</f>
        <v/>
      </c>
      <c r="H89">
        <f>PROPER(TRIM('01_Raw_Data'!H89))</f>
        <v/>
      </c>
      <c r="I89">
        <f>'01_Raw_Data'!I89</f>
        <v/>
      </c>
      <c r="J89" s="9">
        <f>'01_Raw_Data'!J89</f>
        <v/>
      </c>
      <c r="K89" s="9">
        <f>IFERROR(I89*J89,0)</f>
        <v/>
      </c>
      <c r="L89">
        <f>YEAR(B89)</f>
        <v/>
      </c>
      <c r="M89">
        <f>TEXT(B89,"mmm")</f>
        <v/>
      </c>
      <c r="N89">
        <f>PROPER(TRIM(E89))</f>
        <v/>
      </c>
      <c r="O89">
        <f>PROPER(TRIM(C89))</f>
        <v/>
      </c>
      <c r="P89" s="9">
        <f>K89*IFERROR(XLOOKUP(D89,'03_Lookups'!$E$5:$E$6,'03_Lookups'!$F$5:$F$6),0)</f>
        <v/>
      </c>
      <c r="Q89" s="10">
        <f>IFERROR(P89/K89,0)</f>
        <v/>
      </c>
      <c r="R89">
        <f>IFS(K89&gt;=50000,"High",K89&gt;=20000,"Medium",TRUE,"Low")</f>
        <v/>
      </c>
    </row>
    <row r="90">
      <c r="A90">
        <f>'01_Raw_Data'!A90</f>
        <v/>
      </c>
      <c r="B90" s="8">
        <f>'01_Raw_Data'!B90</f>
        <v/>
      </c>
      <c r="C90">
        <f>PROPER(TRIM('01_Raw_Data'!C90))</f>
        <v/>
      </c>
      <c r="D90">
        <f>PROPER(TRIM('01_Raw_Data'!D90))</f>
        <v/>
      </c>
      <c r="E90">
        <f>PROPER(TRIM('01_Raw_Data'!E90))</f>
        <v/>
      </c>
      <c r="F90">
        <f>PROPER(TRIM('01_Raw_Data'!F90))</f>
        <v/>
      </c>
      <c r="G90">
        <f>PROPER(TRIM('01_Raw_Data'!G90))</f>
        <v/>
      </c>
      <c r="H90">
        <f>PROPER(TRIM('01_Raw_Data'!H90))</f>
        <v/>
      </c>
      <c r="I90">
        <f>'01_Raw_Data'!I90</f>
        <v/>
      </c>
      <c r="J90" s="9">
        <f>'01_Raw_Data'!J90</f>
        <v/>
      </c>
      <c r="K90" s="9">
        <f>IFERROR(I90*J90,0)</f>
        <v/>
      </c>
      <c r="L90">
        <f>YEAR(B90)</f>
        <v/>
      </c>
      <c r="M90">
        <f>TEXT(B90,"mmm")</f>
        <v/>
      </c>
      <c r="N90">
        <f>PROPER(TRIM(E90))</f>
        <v/>
      </c>
      <c r="O90">
        <f>PROPER(TRIM(C90))</f>
        <v/>
      </c>
      <c r="P90" s="9">
        <f>K90*IFERROR(XLOOKUP(D90,'03_Lookups'!$E$5:$E$6,'03_Lookups'!$F$5:$F$6),0)</f>
        <v/>
      </c>
      <c r="Q90" s="10">
        <f>IFERROR(P90/K90,0)</f>
        <v/>
      </c>
      <c r="R90">
        <f>IFS(K90&gt;=50000,"High",K90&gt;=20000,"Medium",TRUE,"Low")</f>
        <v/>
      </c>
    </row>
    <row r="91">
      <c r="A91">
        <f>'01_Raw_Data'!A91</f>
        <v/>
      </c>
      <c r="B91" s="8">
        <f>'01_Raw_Data'!B91</f>
        <v/>
      </c>
      <c r="C91">
        <f>PROPER(TRIM('01_Raw_Data'!C91))</f>
        <v/>
      </c>
      <c r="D91">
        <f>PROPER(TRIM('01_Raw_Data'!D91))</f>
        <v/>
      </c>
      <c r="E91">
        <f>PROPER(TRIM('01_Raw_Data'!E91))</f>
        <v/>
      </c>
      <c r="F91">
        <f>PROPER(TRIM('01_Raw_Data'!F91))</f>
        <v/>
      </c>
      <c r="G91">
        <f>PROPER(TRIM('01_Raw_Data'!G91))</f>
        <v/>
      </c>
      <c r="H91">
        <f>PROPER(TRIM('01_Raw_Data'!H91))</f>
        <v/>
      </c>
      <c r="I91">
        <f>'01_Raw_Data'!I91</f>
        <v/>
      </c>
      <c r="J91" s="9">
        <f>'01_Raw_Data'!J91</f>
        <v/>
      </c>
      <c r="K91" s="9">
        <f>IFERROR(I91*J91,0)</f>
        <v/>
      </c>
      <c r="L91">
        <f>YEAR(B91)</f>
        <v/>
      </c>
      <c r="M91">
        <f>TEXT(B91,"mmm")</f>
        <v/>
      </c>
      <c r="N91">
        <f>PROPER(TRIM(E91))</f>
        <v/>
      </c>
      <c r="O91">
        <f>PROPER(TRIM(C91))</f>
        <v/>
      </c>
      <c r="P91" s="9">
        <f>K91*IFERROR(XLOOKUP(D91,'03_Lookups'!$E$5:$E$6,'03_Lookups'!$F$5:$F$6),0)</f>
        <v/>
      </c>
      <c r="Q91" s="10">
        <f>IFERROR(P91/K91,0)</f>
        <v/>
      </c>
      <c r="R91">
        <f>IFS(K91&gt;=50000,"High",K91&gt;=20000,"Medium",TRUE,"Low")</f>
        <v/>
      </c>
    </row>
    <row r="92">
      <c r="A92">
        <f>'01_Raw_Data'!A92</f>
        <v/>
      </c>
      <c r="B92" s="8">
        <f>'01_Raw_Data'!B92</f>
        <v/>
      </c>
      <c r="C92">
        <f>PROPER(TRIM('01_Raw_Data'!C92))</f>
        <v/>
      </c>
      <c r="D92">
        <f>PROPER(TRIM('01_Raw_Data'!D92))</f>
        <v/>
      </c>
      <c r="E92">
        <f>PROPER(TRIM('01_Raw_Data'!E92))</f>
        <v/>
      </c>
      <c r="F92">
        <f>PROPER(TRIM('01_Raw_Data'!F92))</f>
        <v/>
      </c>
      <c r="G92">
        <f>PROPER(TRIM('01_Raw_Data'!G92))</f>
        <v/>
      </c>
      <c r="H92">
        <f>PROPER(TRIM('01_Raw_Data'!H92))</f>
        <v/>
      </c>
      <c r="I92">
        <f>'01_Raw_Data'!I92</f>
        <v/>
      </c>
      <c r="J92" s="9">
        <f>'01_Raw_Data'!J92</f>
        <v/>
      </c>
      <c r="K92" s="9">
        <f>IFERROR(I92*J92,0)</f>
        <v/>
      </c>
      <c r="L92">
        <f>YEAR(B92)</f>
        <v/>
      </c>
      <c r="M92">
        <f>TEXT(B92,"mmm")</f>
        <v/>
      </c>
      <c r="N92">
        <f>PROPER(TRIM(E92))</f>
        <v/>
      </c>
      <c r="O92">
        <f>PROPER(TRIM(C92))</f>
        <v/>
      </c>
      <c r="P92" s="9">
        <f>K92*IFERROR(XLOOKUP(D92,'03_Lookups'!$E$5:$E$6,'03_Lookups'!$F$5:$F$6),0)</f>
        <v/>
      </c>
      <c r="Q92" s="10">
        <f>IFERROR(P92/K92,0)</f>
        <v/>
      </c>
      <c r="R92">
        <f>IFS(K92&gt;=50000,"High",K92&gt;=20000,"Medium",TRUE,"Low")</f>
        <v/>
      </c>
    </row>
    <row r="93">
      <c r="A93">
        <f>'01_Raw_Data'!A93</f>
        <v/>
      </c>
      <c r="B93" s="8">
        <f>'01_Raw_Data'!B93</f>
        <v/>
      </c>
      <c r="C93">
        <f>PROPER(TRIM('01_Raw_Data'!C93))</f>
        <v/>
      </c>
      <c r="D93">
        <f>PROPER(TRIM('01_Raw_Data'!D93))</f>
        <v/>
      </c>
      <c r="E93">
        <f>PROPER(TRIM('01_Raw_Data'!E93))</f>
        <v/>
      </c>
      <c r="F93">
        <f>PROPER(TRIM('01_Raw_Data'!F93))</f>
        <v/>
      </c>
      <c r="G93">
        <f>PROPER(TRIM('01_Raw_Data'!G93))</f>
        <v/>
      </c>
      <c r="H93">
        <f>PROPER(TRIM('01_Raw_Data'!H93))</f>
        <v/>
      </c>
      <c r="I93">
        <f>'01_Raw_Data'!I93</f>
        <v/>
      </c>
      <c r="J93" s="9">
        <f>'01_Raw_Data'!J93</f>
        <v/>
      </c>
      <c r="K93" s="9">
        <f>IFERROR(I93*J93,0)</f>
        <v/>
      </c>
      <c r="L93">
        <f>YEAR(B93)</f>
        <v/>
      </c>
      <c r="M93">
        <f>TEXT(B93,"mmm")</f>
        <v/>
      </c>
      <c r="N93">
        <f>PROPER(TRIM(E93))</f>
        <v/>
      </c>
      <c r="O93">
        <f>PROPER(TRIM(C93))</f>
        <v/>
      </c>
      <c r="P93" s="9">
        <f>K93*IFERROR(XLOOKUP(D93,'03_Lookups'!$E$5:$E$6,'03_Lookups'!$F$5:$F$6),0)</f>
        <v/>
      </c>
      <c r="Q93" s="10">
        <f>IFERROR(P93/K93,0)</f>
        <v/>
      </c>
      <c r="R93">
        <f>IFS(K93&gt;=50000,"High",K93&gt;=20000,"Medium",TRUE,"Low")</f>
        <v/>
      </c>
    </row>
    <row r="94">
      <c r="A94">
        <f>'01_Raw_Data'!A94</f>
        <v/>
      </c>
      <c r="B94" s="8">
        <f>'01_Raw_Data'!B94</f>
        <v/>
      </c>
      <c r="C94">
        <f>PROPER(TRIM('01_Raw_Data'!C94))</f>
        <v/>
      </c>
      <c r="D94">
        <f>PROPER(TRIM('01_Raw_Data'!D94))</f>
        <v/>
      </c>
      <c r="E94">
        <f>PROPER(TRIM('01_Raw_Data'!E94))</f>
        <v/>
      </c>
      <c r="F94">
        <f>PROPER(TRIM('01_Raw_Data'!F94))</f>
        <v/>
      </c>
      <c r="G94">
        <f>PROPER(TRIM('01_Raw_Data'!G94))</f>
        <v/>
      </c>
      <c r="H94">
        <f>PROPER(TRIM('01_Raw_Data'!H94))</f>
        <v/>
      </c>
      <c r="I94">
        <f>'01_Raw_Data'!I94</f>
        <v/>
      </c>
      <c r="J94" s="9">
        <f>'01_Raw_Data'!J94</f>
        <v/>
      </c>
      <c r="K94" s="9">
        <f>IFERROR(I94*J94,0)</f>
        <v/>
      </c>
      <c r="L94">
        <f>YEAR(B94)</f>
        <v/>
      </c>
      <c r="M94">
        <f>TEXT(B94,"mmm")</f>
        <v/>
      </c>
      <c r="N94">
        <f>PROPER(TRIM(E94))</f>
        <v/>
      </c>
      <c r="O94">
        <f>PROPER(TRIM(C94))</f>
        <v/>
      </c>
      <c r="P94" s="9">
        <f>K94*IFERROR(XLOOKUP(D94,'03_Lookups'!$E$5:$E$6,'03_Lookups'!$F$5:$F$6),0)</f>
        <v/>
      </c>
      <c r="Q94" s="10">
        <f>IFERROR(P94/K94,0)</f>
        <v/>
      </c>
      <c r="R94">
        <f>IFS(K94&gt;=50000,"High",K94&gt;=20000,"Medium",TRUE,"Low")</f>
        <v/>
      </c>
    </row>
    <row r="95">
      <c r="A95">
        <f>'01_Raw_Data'!A95</f>
        <v/>
      </c>
      <c r="B95" s="8">
        <f>'01_Raw_Data'!B95</f>
        <v/>
      </c>
      <c r="C95">
        <f>PROPER(TRIM('01_Raw_Data'!C95))</f>
        <v/>
      </c>
      <c r="D95">
        <f>PROPER(TRIM('01_Raw_Data'!D95))</f>
        <v/>
      </c>
      <c r="E95">
        <f>PROPER(TRIM('01_Raw_Data'!E95))</f>
        <v/>
      </c>
      <c r="F95">
        <f>PROPER(TRIM('01_Raw_Data'!F95))</f>
        <v/>
      </c>
      <c r="G95">
        <f>PROPER(TRIM('01_Raw_Data'!G95))</f>
        <v/>
      </c>
      <c r="H95">
        <f>PROPER(TRIM('01_Raw_Data'!H95))</f>
        <v/>
      </c>
      <c r="I95">
        <f>'01_Raw_Data'!I95</f>
        <v/>
      </c>
      <c r="J95" s="9">
        <f>'01_Raw_Data'!J95</f>
        <v/>
      </c>
      <c r="K95" s="9">
        <f>IFERROR(I95*J95,0)</f>
        <v/>
      </c>
      <c r="L95">
        <f>YEAR(B95)</f>
        <v/>
      </c>
      <c r="M95">
        <f>TEXT(B95,"mmm")</f>
        <v/>
      </c>
      <c r="N95">
        <f>PROPER(TRIM(E95))</f>
        <v/>
      </c>
      <c r="O95">
        <f>PROPER(TRIM(C95))</f>
        <v/>
      </c>
      <c r="P95" s="9">
        <f>K95*IFERROR(XLOOKUP(D95,'03_Lookups'!$E$5:$E$6,'03_Lookups'!$F$5:$F$6),0)</f>
        <v/>
      </c>
      <c r="Q95" s="10">
        <f>IFERROR(P95/K95,0)</f>
        <v/>
      </c>
      <c r="R95">
        <f>IFS(K95&gt;=50000,"High",K95&gt;=20000,"Medium",TRUE,"Low")</f>
        <v/>
      </c>
    </row>
    <row r="96">
      <c r="A96">
        <f>'01_Raw_Data'!A96</f>
        <v/>
      </c>
      <c r="B96" s="8">
        <f>'01_Raw_Data'!B96</f>
        <v/>
      </c>
      <c r="C96">
        <f>PROPER(TRIM('01_Raw_Data'!C96))</f>
        <v/>
      </c>
      <c r="D96">
        <f>PROPER(TRIM('01_Raw_Data'!D96))</f>
        <v/>
      </c>
      <c r="E96">
        <f>PROPER(TRIM('01_Raw_Data'!E96))</f>
        <v/>
      </c>
      <c r="F96">
        <f>PROPER(TRIM('01_Raw_Data'!F96))</f>
        <v/>
      </c>
      <c r="G96">
        <f>PROPER(TRIM('01_Raw_Data'!G96))</f>
        <v/>
      </c>
      <c r="H96">
        <f>PROPER(TRIM('01_Raw_Data'!H96))</f>
        <v/>
      </c>
      <c r="I96">
        <f>'01_Raw_Data'!I96</f>
        <v/>
      </c>
      <c r="J96" s="9">
        <f>'01_Raw_Data'!J96</f>
        <v/>
      </c>
      <c r="K96" s="9">
        <f>IFERROR(I96*J96,0)</f>
        <v/>
      </c>
      <c r="L96">
        <f>YEAR(B96)</f>
        <v/>
      </c>
      <c r="M96">
        <f>TEXT(B96,"mmm")</f>
        <v/>
      </c>
      <c r="N96">
        <f>PROPER(TRIM(E96))</f>
        <v/>
      </c>
      <c r="O96">
        <f>PROPER(TRIM(C96))</f>
        <v/>
      </c>
      <c r="P96" s="9">
        <f>K96*IFERROR(XLOOKUP(D96,'03_Lookups'!$E$5:$E$6,'03_Lookups'!$F$5:$F$6),0)</f>
        <v/>
      </c>
      <c r="Q96" s="10">
        <f>IFERROR(P96/K96,0)</f>
        <v/>
      </c>
      <c r="R96">
        <f>IFS(K96&gt;=50000,"High",K96&gt;=20000,"Medium",TRUE,"Low")</f>
        <v/>
      </c>
    </row>
    <row r="97">
      <c r="A97">
        <f>'01_Raw_Data'!A97</f>
        <v/>
      </c>
      <c r="B97" s="8">
        <f>'01_Raw_Data'!B97</f>
        <v/>
      </c>
      <c r="C97">
        <f>PROPER(TRIM('01_Raw_Data'!C97))</f>
        <v/>
      </c>
      <c r="D97">
        <f>PROPER(TRIM('01_Raw_Data'!D97))</f>
        <v/>
      </c>
      <c r="E97">
        <f>PROPER(TRIM('01_Raw_Data'!E97))</f>
        <v/>
      </c>
      <c r="F97">
        <f>PROPER(TRIM('01_Raw_Data'!F97))</f>
        <v/>
      </c>
      <c r="G97">
        <f>PROPER(TRIM('01_Raw_Data'!G97))</f>
        <v/>
      </c>
      <c r="H97">
        <f>PROPER(TRIM('01_Raw_Data'!H97))</f>
        <v/>
      </c>
      <c r="I97">
        <f>'01_Raw_Data'!I97</f>
        <v/>
      </c>
      <c r="J97" s="9">
        <f>'01_Raw_Data'!J97</f>
        <v/>
      </c>
      <c r="K97" s="9">
        <f>IFERROR(I97*J97,0)</f>
        <v/>
      </c>
      <c r="L97">
        <f>YEAR(B97)</f>
        <v/>
      </c>
      <c r="M97">
        <f>TEXT(B97,"mmm")</f>
        <v/>
      </c>
      <c r="N97">
        <f>PROPER(TRIM(E97))</f>
        <v/>
      </c>
      <c r="O97">
        <f>PROPER(TRIM(C97))</f>
        <v/>
      </c>
      <c r="P97" s="9">
        <f>K97*IFERROR(XLOOKUP(D97,'03_Lookups'!$E$5:$E$6,'03_Lookups'!$F$5:$F$6),0)</f>
        <v/>
      </c>
      <c r="Q97" s="10">
        <f>IFERROR(P97/K97,0)</f>
        <v/>
      </c>
      <c r="R97">
        <f>IFS(K97&gt;=50000,"High",K97&gt;=20000,"Medium",TRUE,"Low")</f>
        <v/>
      </c>
    </row>
    <row r="98">
      <c r="A98">
        <f>'01_Raw_Data'!A98</f>
        <v/>
      </c>
      <c r="B98" s="8">
        <f>'01_Raw_Data'!B98</f>
        <v/>
      </c>
      <c r="C98">
        <f>PROPER(TRIM('01_Raw_Data'!C98))</f>
        <v/>
      </c>
      <c r="D98">
        <f>PROPER(TRIM('01_Raw_Data'!D98))</f>
        <v/>
      </c>
      <c r="E98">
        <f>PROPER(TRIM('01_Raw_Data'!E98))</f>
        <v/>
      </c>
      <c r="F98">
        <f>PROPER(TRIM('01_Raw_Data'!F98))</f>
        <v/>
      </c>
      <c r="G98">
        <f>PROPER(TRIM('01_Raw_Data'!G98))</f>
        <v/>
      </c>
      <c r="H98">
        <f>PROPER(TRIM('01_Raw_Data'!H98))</f>
        <v/>
      </c>
      <c r="I98">
        <f>'01_Raw_Data'!I98</f>
        <v/>
      </c>
      <c r="J98" s="9">
        <f>'01_Raw_Data'!J98</f>
        <v/>
      </c>
      <c r="K98" s="9">
        <f>IFERROR(I98*J98,0)</f>
        <v/>
      </c>
      <c r="L98">
        <f>YEAR(B98)</f>
        <v/>
      </c>
      <c r="M98">
        <f>TEXT(B98,"mmm")</f>
        <v/>
      </c>
      <c r="N98">
        <f>PROPER(TRIM(E98))</f>
        <v/>
      </c>
      <c r="O98">
        <f>PROPER(TRIM(C98))</f>
        <v/>
      </c>
      <c r="P98" s="9">
        <f>K98*IFERROR(XLOOKUP(D98,'03_Lookups'!$E$5:$E$6,'03_Lookups'!$F$5:$F$6),0)</f>
        <v/>
      </c>
      <c r="Q98" s="10">
        <f>IFERROR(P98/K98,0)</f>
        <v/>
      </c>
      <c r="R98">
        <f>IFS(K98&gt;=50000,"High",K98&gt;=20000,"Medium",TRUE,"Low")</f>
        <v/>
      </c>
    </row>
    <row r="99">
      <c r="A99">
        <f>'01_Raw_Data'!A99</f>
        <v/>
      </c>
      <c r="B99" s="8">
        <f>'01_Raw_Data'!B99</f>
        <v/>
      </c>
      <c r="C99">
        <f>PROPER(TRIM('01_Raw_Data'!C99))</f>
        <v/>
      </c>
      <c r="D99">
        <f>PROPER(TRIM('01_Raw_Data'!D99))</f>
        <v/>
      </c>
      <c r="E99">
        <f>PROPER(TRIM('01_Raw_Data'!E99))</f>
        <v/>
      </c>
      <c r="F99">
        <f>PROPER(TRIM('01_Raw_Data'!F99))</f>
        <v/>
      </c>
      <c r="G99">
        <f>PROPER(TRIM('01_Raw_Data'!G99))</f>
        <v/>
      </c>
      <c r="H99">
        <f>PROPER(TRIM('01_Raw_Data'!H99))</f>
        <v/>
      </c>
      <c r="I99">
        <f>'01_Raw_Data'!I99</f>
        <v/>
      </c>
      <c r="J99" s="9">
        <f>'01_Raw_Data'!J99</f>
        <v/>
      </c>
      <c r="K99" s="9">
        <f>IFERROR(I99*J99,0)</f>
        <v/>
      </c>
      <c r="L99">
        <f>YEAR(B99)</f>
        <v/>
      </c>
      <c r="M99">
        <f>TEXT(B99,"mmm")</f>
        <v/>
      </c>
      <c r="N99">
        <f>PROPER(TRIM(E99))</f>
        <v/>
      </c>
      <c r="O99">
        <f>PROPER(TRIM(C99))</f>
        <v/>
      </c>
      <c r="P99" s="9">
        <f>K99*IFERROR(XLOOKUP(D99,'03_Lookups'!$E$5:$E$6,'03_Lookups'!$F$5:$F$6),0)</f>
        <v/>
      </c>
      <c r="Q99" s="10">
        <f>IFERROR(P99/K99,0)</f>
        <v/>
      </c>
      <c r="R99">
        <f>IFS(K99&gt;=50000,"High",K99&gt;=20000,"Medium",TRUE,"Low")</f>
        <v/>
      </c>
    </row>
    <row r="100">
      <c r="A100">
        <f>'01_Raw_Data'!A100</f>
        <v/>
      </c>
      <c r="B100" s="8">
        <f>'01_Raw_Data'!B100</f>
        <v/>
      </c>
      <c r="C100">
        <f>PROPER(TRIM('01_Raw_Data'!C100))</f>
        <v/>
      </c>
      <c r="D100">
        <f>PROPER(TRIM('01_Raw_Data'!D100))</f>
        <v/>
      </c>
      <c r="E100">
        <f>PROPER(TRIM('01_Raw_Data'!E100))</f>
        <v/>
      </c>
      <c r="F100">
        <f>PROPER(TRIM('01_Raw_Data'!F100))</f>
        <v/>
      </c>
      <c r="G100">
        <f>PROPER(TRIM('01_Raw_Data'!G100))</f>
        <v/>
      </c>
      <c r="H100">
        <f>PROPER(TRIM('01_Raw_Data'!H100))</f>
        <v/>
      </c>
      <c r="I100">
        <f>'01_Raw_Data'!I100</f>
        <v/>
      </c>
      <c r="J100" s="9">
        <f>'01_Raw_Data'!J100</f>
        <v/>
      </c>
      <c r="K100" s="9">
        <f>IFERROR(I100*J100,0)</f>
        <v/>
      </c>
      <c r="L100">
        <f>YEAR(B100)</f>
        <v/>
      </c>
      <c r="M100">
        <f>TEXT(B100,"mmm")</f>
        <v/>
      </c>
      <c r="N100">
        <f>PROPER(TRIM(E100))</f>
        <v/>
      </c>
      <c r="O100">
        <f>PROPER(TRIM(C100))</f>
        <v/>
      </c>
      <c r="P100" s="9">
        <f>K100*IFERROR(XLOOKUP(D100,'03_Lookups'!$E$5:$E$6,'03_Lookups'!$F$5:$F$6),0)</f>
        <v/>
      </c>
      <c r="Q100" s="10">
        <f>IFERROR(P100/K100,0)</f>
        <v/>
      </c>
      <c r="R100">
        <f>IFS(K100&gt;=50000,"High",K100&gt;=20000,"Medium",TRUE,"Low")</f>
        <v/>
      </c>
    </row>
    <row r="101">
      <c r="A101">
        <f>'01_Raw_Data'!A101</f>
        <v/>
      </c>
      <c r="B101" s="8">
        <f>'01_Raw_Data'!B101</f>
        <v/>
      </c>
      <c r="C101">
        <f>PROPER(TRIM('01_Raw_Data'!C101))</f>
        <v/>
      </c>
      <c r="D101">
        <f>PROPER(TRIM('01_Raw_Data'!D101))</f>
        <v/>
      </c>
      <c r="E101">
        <f>PROPER(TRIM('01_Raw_Data'!E101))</f>
        <v/>
      </c>
      <c r="F101">
        <f>PROPER(TRIM('01_Raw_Data'!F101))</f>
        <v/>
      </c>
      <c r="G101">
        <f>PROPER(TRIM('01_Raw_Data'!G101))</f>
        <v/>
      </c>
      <c r="H101">
        <f>PROPER(TRIM('01_Raw_Data'!H101))</f>
        <v/>
      </c>
      <c r="I101">
        <f>'01_Raw_Data'!I101</f>
        <v/>
      </c>
      <c r="J101" s="9">
        <f>'01_Raw_Data'!J101</f>
        <v/>
      </c>
      <c r="K101" s="9">
        <f>IFERROR(I101*J101,0)</f>
        <v/>
      </c>
      <c r="L101">
        <f>YEAR(B101)</f>
        <v/>
      </c>
      <c r="M101">
        <f>TEXT(B101,"mmm")</f>
        <v/>
      </c>
      <c r="N101">
        <f>PROPER(TRIM(E101))</f>
        <v/>
      </c>
      <c r="O101">
        <f>PROPER(TRIM(C101))</f>
        <v/>
      </c>
      <c r="P101" s="9">
        <f>K101*IFERROR(XLOOKUP(D101,'03_Lookups'!$E$5:$E$6,'03_Lookups'!$F$5:$F$6),0)</f>
        <v/>
      </c>
      <c r="Q101" s="10">
        <f>IFERROR(P101/K101,0)</f>
        <v/>
      </c>
      <c r="R101">
        <f>IFS(K101&gt;=50000,"High",K101&gt;=20000,"Medium",TRUE,"Low")</f>
        <v/>
      </c>
    </row>
    <row r="102">
      <c r="A102">
        <f>'01_Raw_Data'!A102</f>
        <v/>
      </c>
      <c r="B102" s="8">
        <f>'01_Raw_Data'!B102</f>
        <v/>
      </c>
      <c r="C102">
        <f>PROPER(TRIM('01_Raw_Data'!C102))</f>
        <v/>
      </c>
      <c r="D102">
        <f>PROPER(TRIM('01_Raw_Data'!D102))</f>
        <v/>
      </c>
      <c r="E102">
        <f>PROPER(TRIM('01_Raw_Data'!E102))</f>
        <v/>
      </c>
      <c r="F102">
        <f>PROPER(TRIM('01_Raw_Data'!F102))</f>
        <v/>
      </c>
      <c r="G102">
        <f>PROPER(TRIM('01_Raw_Data'!G102))</f>
        <v/>
      </c>
      <c r="H102">
        <f>PROPER(TRIM('01_Raw_Data'!H102))</f>
        <v/>
      </c>
      <c r="I102">
        <f>'01_Raw_Data'!I102</f>
        <v/>
      </c>
      <c r="J102" s="9">
        <f>'01_Raw_Data'!J102</f>
        <v/>
      </c>
      <c r="K102" s="9">
        <f>IFERROR(I102*J102,0)</f>
        <v/>
      </c>
      <c r="L102">
        <f>YEAR(B102)</f>
        <v/>
      </c>
      <c r="M102">
        <f>TEXT(B102,"mmm")</f>
        <v/>
      </c>
      <c r="N102">
        <f>PROPER(TRIM(E102))</f>
        <v/>
      </c>
      <c r="O102">
        <f>PROPER(TRIM(C102))</f>
        <v/>
      </c>
      <c r="P102" s="9">
        <f>K102*IFERROR(XLOOKUP(D102,'03_Lookups'!$E$5:$E$6,'03_Lookups'!$F$5:$F$6),0)</f>
        <v/>
      </c>
      <c r="Q102" s="10">
        <f>IFERROR(P102/K102,0)</f>
        <v/>
      </c>
      <c r="R102">
        <f>IFS(K102&gt;=50000,"High",K102&gt;=20000,"Medium",TRUE,"Low")</f>
        <v/>
      </c>
    </row>
    <row r="103">
      <c r="A103">
        <f>'01_Raw_Data'!A103</f>
        <v/>
      </c>
      <c r="B103" s="8">
        <f>'01_Raw_Data'!B103</f>
        <v/>
      </c>
      <c r="C103">
        <f>PROPER(TRIM('01_Raw_Data'!C103))</f>
        <v/>
      </c>
      <c r="D103">
        <f>PROPER(TRIM('01_Raw_Data'!D103))</f>
        <v/>
      </c>
      <c r="E103">
        <f>PROPER(TRIM('01_Raw_Data'!E103))</f>
        <v/>
      </c>
      <c r="F103">
        <f>PROPER(TRIM('01_Raw_Data'!F103))</f>
        <v/>
      </c>
      <c r="G103">
        <f>PROPER(TRIM('01_Raw_Data'!G103))</f>
        <v/>
      </c>
      <c r="H103">
        <f>PROPER(TRIM('01_Raw_Data'!H103))</f>
        <v/>
      </c>
      <c r="I103">
        <f>'01_Raw_Data'!I103</f>
        <v/>
      </c>
      <c r="J103" s="9">
        <f>'01_Raw_Data'!J103</f>
        <v/>
      </c>
      <c r="K103" s="9">
        <f>IFERROR(I103*J103,0)</f>
        <v/>
      </c>
      <c r="L103">
        <f>YEAR(B103)</f>
        <v/>
      </c>
      <c r="M103">
        <f>TEXT(B103,"mmm")</f>
        <v/>
      </c>
      <c r="N103">
        <f>PROPER(TRIM(E103))</f>
        <v/>
      </c>
      <c r="O103">
        <f>PROPER(TRIM(C103))</f>
        <v/>
      </c>
      <c r="P103" s="9">
        <f>K103*IFERROR(XLOOKUP(D103,'03_Lookups'!$E$5:$E$6,'03_Lookups'!$F$5:$F$6),0)</f>
        <v/>
      </c>
      <c r="Q103" s="10">
        <f>IFERROR(P103/K103,0)</f>
        <v/>
      </c>
      <c r="R103">
        <f>IFS(K103&gt;=50000,"High",K103&gt;=20000,"Medium",TRUE,"Low")</f>
        <v/>
      </c>
    </row>
    <row r="104">
      <c r="A104">
        <f>'01_Raw_Data'!A104</f>
        <v/>
      </c>
      <c r="B104" s="8">
        <f>'01_Raw_Data'!B104</f>
        <v/>
      </c>
      <c r="C104">
        <f>PROPER(TRIM('01_Raw_Data'!C104))</f>
        <v/>
      </c>
      <c r="D104">
        <f>PROPER(TRIM('01_Raw_Data'!D104))</f>
        <v/>
      </c>
      <c r="E104">
        <f>PROPER(TRIM('01_Raw_Data'!E104))</f>
        <v/>
      </c>
      <c r="F104">
        <f>PROPER(TRIM('01_Raw_Data'!F104))</f>
        <v/>
      </c>
      <c r="G104">
        <f>PROPER(TRIM('01_Raw_Data'!G104))</f>
        <v/>
      </c>
      <c r="H104">
        <f>PROPER(TRIM('01_Raw_Data'!H104))</f>
        <v/>
      </c>
      <c r="I104">
        <f>'01_Raw_Data'!I104</f>
        <v/>
      </c>
      <c r="J104" s="9">
        <f>'01_Raw_Data'!J104</f>
        <v/>
      </c>
      <c r="K104" s="9">
        <f>IFERROR(I104*J104,0)</f>
        <v/>
      </c>
      <c r="L104">
        <f>YEAR(B104)</f>
        <v/>
      </c>
      <c r="M104">
        <f>TEXT(B104,"mmm")</f>
        <v/>
      </c>
      <c r="N104">
        <f>PROPER(TRIM(E104))</f>
        <v/>
      </c>
      <c r="O104">
        <f>PROPER(TRIM(C104))</f>
        <v/>
      </c>
      <c r="P104" s="9">
        <f>K104*IFERROR(XLOOKUP(D104,'03_Lookups'!$E$5:$E$6,'03_Lookups'!$F$5:$F$6),0)</f>
        <v/>
      </c>
      <c r="Q104" s="10">
        <f>IFERROR(P104/K104,0)</f>
        <v/>
      </c>
      <c r="R104">
        <f>IFS(K104&gt;=50000,"High",K104&gt;=20000,"Medium",TRUE,"Low")</f>
        <v/>
      </c>
    </row>
    <row r="105">
      <c r="A105">
        <f>'01_Raw_Data'!A105</f>
        <v/>
      </c>
      <c r="B105" s="8">
        <f>'01_Raw_Data'!B105</f>
        <v/>
      </c>
      <c r="C105">
        <f>PROPER(TRIM('01_Raw_Data'!C105))</f>
        <v/>
      </c>
      <c r="D105">
        <f>PROPER(TRIM('01_Raw_Data'!D105))</f>
        <v/>
      </c>
      <c r="E105">
        <f>PROPER(TRIM('01_Raw_Data'!E105))</f>
        <v/>
      </c>
      <c r="F105">
        <f>PROPER(TRIM('01_Raw_Data'!F105))</f>
        <v/>
      </c>
      <c r="G105">
        <f>PROPER(TRIM('01_Raw_Data'!G105))</f>
        <v/>
      </c>
      <c r="H105">
        <f>PROPER(TRIM('01_Raw_Data'!H105))</f>
        <v/>
      </c>
      <c r="I105">
        <f>'01_Raw_Data'!I105</f>
        <v/>
      </c>
      <c r="J105" s="9">
        <f>'01_Raw_Data'!J105</f>
        <v/>
      </c>
      <c r="K105" s="9">
        <f>IFERROR(I105*J105,0)</f>
        <v/>
      </c>
      <c r="L105">
        <f>YEAR(B105)</f>
        <v/>
      </c>
      <c r="M105">
        <f>TEXT(B105,"mmm")</f>
        <v/>
      </c>
      <c r="N105">
        <f>PROPER(TRIM(E105))</f>
        <v/>
      </c>
      <c r="O105">
        <f>PROPER(TRIM(C105))</f>
        <v/>
      </c>
      <c r="P105" s="9">
        <f>K105*IFERROR(XLOOKUP(D105,'03_Lookups'!$E$5:$E$6,'03_Lookups'!$F$5:$F$6),0)</f>
        <v/>
      </c>
      <c r="Q105" s="10">
        <f>IFERROR(P105/K105,0)</f>
        <v/>
      </c>
      <c r="R105">
        <f>IFS(K105&gt;=50000,"High",K105&gt;=20000,"Medium",TRUE,"Low")</f>
        <v/>
      </c>
    </row>
    <row r="106">
      <c r="A106">
        <f>'01_Raw_Data'!A106</f>
        <v/>
      </c>
      <c r="B106" s="8">
        <f>'01_Raw_Data'!B106</f>
        <v/>
      </c>
      <c r="C106">
        <f>PROPER(TRIM('01_Raw_Data'!C106))</f>
        <v/>
      </c>
      <c r="D106">
        <f>PROPER(TRIM('01_Raw_Data'!D106))</f>
        <v/>
      </c>
      <c r="E106">
        <f>PROPER(TRIM('01_Raw_Data'!E106))</f>
        <v/>
      </c>
      <c r="F106">
        <f>PROPER(TRIM('01_Raw_Data'!F106))</f>
        <v/>
      </c>
      <c r="G106">
        <f>PROPER(TRIM('01_Raw_Data'!G106))</f>
        <v/>
      </c>
      <c r="H106">
        <f>PROPER(TRIM('01_Raw_Data'!H106))</f>
        <v/>
      </c>
      <c r="I106">
        <f>'01_Raw_Data'!I106</f>
        <v/>
      </c>
      <c r="J106" s="9">
        <f>'01_Raw_Data'!J106</f>
        <v/>
      </c>
      <c r="K106" s="9">
        <f>IFERROR(I106*J106,0)</f>
        <v/>
      </c>
      <c r="L106">
        <f>YEAR(B106)</f>
        <v/>
      </c>
      <c r="M106">
        <f>TEXT(B106,"mmm")</f>
        <v/>
      </c>
      <c r="N106">
        <f>PROPER(TRIM(E106))</f>
        <v/>
      </c>
      <c r="O106">
        <f>PROPER(TRIM(C106))</f>
        <v/>
      </c>
      <c r="P106" s="9">
        <f>K106*IFERROR(XLOOKUP(D106,'03_Lookups'!$E$5:$E$6,'03_Lookups'!$F$5:$F$6),0)</f>
        <v/>
      </c>
      <c r="Q106" s="10">
        <f>IFERROR(P106/K106,0)</f>
        <v/>
      </c>
      <c r="R106">
        <f>IFS(K106&gt;=50000,"High",K106&gt;=20000,"Medium",TRUE,"Low")</f>
        <v/>
      </c>
    </row>
    <row r="107">
      <c r="A107">
        <f>'01_Raw_Data'!A107</f>
        <v/>
      </c>
      <c r="B107" s="8">
        <f>'01_Raw_Data'!B107</f>
        <v/>
      </c>
      <c r="C107">
        <f>PROPER(TRIM('01_Raw_Data'!C107))</f>
        <v/>
      </c>
      <c r="D107">
        <f>PROPER(TRIM('01_Raw_Data'!D107))</f>
        <v/>
      </c>
      <c r="E107">
        <f>PROPER(TRIM('01_Raw_Data'!E107))</f>
        <v/>
      </c>
      <c r="F107">
        <f>PROPER(TRIM('01_Raw_Data'!F107))</f>
        <v/>
      </c>
      <c r="G107">
        <f>PROPER(TRIM('01_Raw_Data'!G107))</f>
        <v/>
      </c>
      <c r="H107">
        <f>PROPER(TRIM('01_Raw_Data'!H107))</f>
        <v/>
      </c>
      <c r="I107">
        <f>'01_Raw_Data'!I107</f>
        <v/>
      </c>
      <c r="J107" s="9">
        <f>'01_Raw_Data'!J107</f>
        <v/>
      </c>
      <c r="K107" s="9">
        <f>IFERROR(I107*J107,0)</f>
        <v/>
      </c>
      <c r="L107">
        <f>YEAR(B107)</f>
        <v/>
      </c>
      <c r="M107">
        <f>TEXT(B107,"mmm")</f>
        <v/>
      </c>
      <c r="N107">
        <f>PROPER(TRIM(E107))</f>
        <v/>
      </c>
      <c r="O107">
        <f>PROPER(TRIM(C107))</f>
        <v/>
      </c>
      <c r="P107" s="9">
        <f>K107*IFERROR(XLOOKUP(D107,'03_Lookups'!$E$5:$E$6,'03_Lookups'!$F$5:$F$6),0)</f>
        <v/>
      </c>
      <c r="Q107" s="10">
        <f>IFERROR(P107/K107,0)</f>
        <v/>
      </c>
      <c r="R107">
        <f>IFS(K107&gt;=50000,"High",K107&gt;=20000,"Medium",TRUE,"Low")</f>
        <v/>
      </c>
    </row>
    <row r="108">
      <c r="A108">
        <f>'01_Raw_Data'!A108</f>
        <v/>
      </c>
      <c r="B108" s="8">
        <f>'01_Raw_Data'!B108</f>
        <v/>
      </c>
      <c r="C108">
        <f>PROPER(TRIM('01_Raw_Data'!C108))</f>
        <v/>
      </c>
      <c r="D108">
        <f>PROPER(TRIM('01_Raw_Data'!D108))</f>
        <v/>
      </c>
      <c r="E108">
        <f>PROPER(TRIM('01_Raw_Data'!E108))</f>
        <v/>
      </c>
      <c r="F108">
        <f>PROPER(TRIM('01_Raw_Data'!F108))</f>
        <v/>
      </c>
      <c r="G108">
        <f>PROPER(TRIM('01_Raw_Data'!G108))</f>
        <v/>
      </c>
      <c r="H108">
        <f>PROPER(TRIM('01_Raw_Data'!H108))</f>
        <v/>
      </c>
      <c r="I108">
        <f>'01_Raw_Data'!I108</f>
        <v/>
      </c>
      <c r="J108" s="9">
        <f>'01_Raw_Data'!J108</f>
        <v/>
      </c>
      <c r="K108" s="9">
        <f>IFERROR(I108*J108,0)</f>
        <v/>
      </c>
      <c r="L108">
        <f>YEAR(B108)</f>
        <v/>
      </c>
      <c r="M108">
        <f>TEXT(B108,"mmm")</f>
        <v/>
      </c>
      <c r="N108">
        <f>PROPER(TRIM(E108))</f>
        <v/>
      </c>
      <c r="O108">
        <f>PROPER(TRIM(C108))</f>
        <v/>
      </c>
      <c r="P108" s="9">
        <f>K108*IFERROR(XLOOKUP(D108,'03_Lookups'!$E$5:$E$6,'03_Lookups'!$F$5:$F$6),0)</f>
        <v/>
      </c>
      <c r="Q108" s="10">
        <f>IFERROR(P108/K108,0)</f>
        <v/>
      </c>
      <c r="R108">
        <f>IFS(K108&gt;=50000,"High",K108&gt;=20000,"Medium",TRUE,"Low")</f>
        <v/>
      </c>
    </row>
    <row r="109">
      <c r="A109">
        <f>'01_Raw_Data'!A109</f>
        <v/>
      </c>
      <c r="B109" s="8">
        <f>'01_Raw_Data'!B109</f>
        <v/>
      </c>
      <c r="C109">
        <f>PROPER(TRIM('01_Raw_Data'!C109))</f>
        <v/>
      </c>
      <c r="D109">
        <f>PROPER(TRIM('01_Raw_Data'!D109))</f>
        <v/>
      </c>
      <c r="E109">
        <f>PROPER(TRIM('01_Raw_Data'!E109))</f>
        <v/>
      </c>
      <c r="F109">
        <f>PROPER(TRIM('01_Raw_Data'!F109))</f>
        <v/>
      </c>
      <c r="G109">
        <f>PROPER(TRIM('01_Raw_Data'!G109))</f>
        <v/>
      </c>
      <c r="H109">
        <f>PROPER(TRIM('01_Raw_Data'!H109))</f>
        <v/>
      </c>
      <c r="I109">
        <f>'01_Raw_Data'!I109</f>
        <v/>
      </c>
      <c r="J109" s="9">
        <f>'01_Raw_Data'!J109</f>
        <v/>
      </c>
      <c r="K109" s="9">
        <f>IFERROR(I109*J109,0)</f>
        <v/>
      </c>
      <c r="L109">
        <f>YEAR(B109)</f>
        <v/>
      </c>
      <c r="M109">
        <f>TEXT(B109,"mmm")</f>
        <v/>
      </c>
      <c r="N109">
        <f>PROPER(TRIM(E109))</f>
        <v/>
      </c>
      <c r="O109">
        <f>PROPER(TRIM(C109))</f>
        <v/>
      </c>
      <c r="P109" s="9">
        <f>K109*IFERROR(XLOOKUP(D109,'03_Lookups'!$E$5:$E$6,'03_Lookups'!$F$5:$F$6),0)</f>
        <v/>
      </c>
      <c r="Q109" s="10">
        <f>IFERROR(P109/K109,0)</f>
        <v/>
      </c>
      <c r="R109">
        <f>IFS(K109&gt;=50000,"High",K109&gt;=20000,"Medium",TRUE,"Low")</f>
        <v/>
      </c>
    </row>
    <row r="110">
      <c r="A110">
        <f>'01_Raw_Data'!A110</f>
        <v/>
      </c>
      <c r="B110" s="8">
        <f>'01_Raw_Data'!B110</f>
        <v/>
      </c>
      <c r="C110">
        <f>PROPER(TRIM('01_Raw_Data'!C110))</f>
        <v/>
      </c>
      <c r="D110">
        <f>PROPER(TRIM('01_Raw_Data'!D110))</f>
        <v/>
      </c>
      <c r="E110">
        <f>PROPER(TRIM('01_Raw_Data'!E110))</f>
        <v/>
      </c>
      <c r="F110">
        <f>PROPER(TRIM('01_Raw_Data'!F110))</f>
        <v/>
      </c>
      <c r="G110">
        <f>PROPER(TRIM('01_Raw_Data'!G110))</f>
        <v/>
      </c>
      <c r="H110">
        <f>PROPER(TRIM('01_Raw_Data'!H110))</f>
        <v/>
      </c>
      <c r="I110">
        <f>'01_Raw_Data'!I110</f>
        <v/>
      </c>
      <c r="J110" s="9">
        <f>'01_Raw_Data'!J110</f>
        <v/>
      </c>
      <c r="K110" s="9">
        <f>IFERROR(I110*J110,0)</f>
        <v/>
      </c>
      <c r="L110">
        <f>YEAR(B110)</f>
        <v/>
      </c>
      <c r="M110">
        <f>TEXT(B110,"mmm")</f>
        <v/>
      </c>
      <c r="N110">
        <f>PROPER(TRIM(E110))</f>
        <v/>
      </c>
      <c r="O110">
        <f>PROPER(TRIM(C110))</f>
        <v/>
      </c>
      <c r="P110" s="9">
        <f>K110*IFERROR(XLOOKUP(D110,'03_Lookups'!$E$5:$E$6,'03_Lookups'!$F$5:$F$6),0)</f>
        <v/>
      </c>
      <c r="Q110" s="10">
        <f>IFERROR(P110/K110,0)</f>
        <v/>
      </c>
      <c r="R110">
        <f>IFS(K110&gt;=50000,"High",K110&gt;=20000,"Medium",TRUE,"Low")</f>
        <v/>
      </c>
    </row>
    <row r="111">
      <c r="A111">
        <f>'01_Raw_Data'!A111</f>
        <v/>
      </c>
      <c r="B111" s="8">
        <f>'01_Raw_Data'!B111</f>
        <v/>
      </c>
      <c r="C111">
        <f>PROPER(TRIM('01_Raw_Data'!C111))</f>
        <v/>
      </c>
      <c r="D111">
        <f>PROPER(TRIM('01_Raw_Data'!D111))</f>
        <v/>
      </c>
      <c r="E111">
        <f>PROPER(TRIM('01_Raw_Data'!E111))</f>
        <v/>
      </c>
      <c r="F111">
        <f>PROPER(TRIM('01_Raw_Data'!F111))</f>
        <v/>
      </c>
      <c r="G111">
        <f>PROPER(TRIM('01_Raw_Data'!G111))</f>
        <v/>
      </c>
      <c r="H111">
        <f>PROPER(TRIM('01_Raw_Data'!H111))</f>
        <v/>
      </c>
      <c r="I111">
        <f>'01_Raw_Data'!I111</f>
        <v/>
      </c>
      <c r="J111" s="9">
        <f>'01_Raw_Data'!J111</f>
        <v/>
      </c>
      <c r="K111" s="9">
        <f>IFERROR(I111*J111,0)</f>
        <v/>
      </c>
      <c r="L111">
        <f>YEAR(B111)</f>
        <v/>
      </c>
      <c r="M111">
        <f>TEXT(B111,"mmm")</f>
        <v/>
      </c>
      <c r="N111">
        <f>PROPER(TRIM(E111))</f>
        <v/>
      </c>
      <c r="O111">
        <f>PROPER(TRIM(C111))</f>
        <v/>
      </c>
      <c r="P111" s="9">
        <f>K111*IFERROR(XLOOKUP(D111,'03_Lookups'!$E$5:$E$6,'03_Lookups'!$F$5:$F$6),0)</f>
        <v/>
      </c>
      <c r="Q111" s="10">
        <f>IFERROR(P111/K111,0)</f>
        <v/>
      </c>
      <c r="R111">
        <f>IFS(K111&gt;=50000,"High",K111&gt;=20000,"Medium",TRUE,"Low")</f>
        <v/>
      </c>
    </row>
    <row r="112">
      <c r="A112">
        <f>'01_Raw_Data'!A112</f>
        <v/>
      </c>
      <c r="B112" s="8">
        <f>'01_Raw_Data'!B112</f>
        <v/>
      </c>
      <c r="C112">
        <f>PROPER(TRIM('01_Raw_Data'!C112))</f>
        <v/>
      </c>
      <c r="D112">
        <f>PROPER(TRIM('01_Raw_Data'!D112))</f>
        <v/>
      </c>
      <c r="E112">
        <f>PROPER(TRIM('01_Raw_Data'!E112))</f>
        <v/>
      </c>
      <c r="F112">
        <f>PROPER(TRIM('01_Raw_Data'!F112))</f>
        <v/>
      </c>
      <c r="G112">
        <f>PROPER(TRIM('01_Raw_Data'!G112))</f>
        <v/>
      </c>
      <c r="H112">
        <f>PROPER(TRIM('01_Raw_Data'!H112))</f>
        <v/>
      </c>
      <c r="I112">
        <f>'01_Raw_Data'!I112</f>
        <v/>
      </c>
      <c r="J112" s="9">
        <f>'01_Raw_Data'!J112</f>
        <v/>
      </c>
      <c r="K112" s="9">
        <f>IFERROR(I112*J112,0)</f>
        <v/>
      </c>
      <c r="L112">
        <f>YEAR(B112)</f>
        <v/>
      </c>
      <c r="M112">
        <f>TEXT(B112,"mmm")</f>
        <v/>
      </c>
      <c r="N112">
        <f>PROPER(TRIM(E112))</f>
        <v/>
      </c>
      <c r="O112">
        <f>PROPER(TRIM(C112))</f>
        <v/>
      </c>
      <c r="P112" s="9">
        <f>K112*IFERROR(XLOOKUP(D112,'03_Lookups'!$E$5:$E$6,'03_Lookups'!$F$5:$F$6),0)</f>
        <v/>
      </c>
      <c r="Q112" s="10">
        <f>IFERROR(P112/K112,0)</f>
        <v/>
      </c>
      <c r="R112">
        <f>IFS(K112&gt;=50000,"High",K112&gt;=20000,"Medium",TRUE,"Low")</f>
        <v/>
      </c>
    </row>
    <row r="113">
      <c r="A113">
        <f>'01_Raw_Data'!A113</f>
        <v/>
      </c>
      <c r="B113" s="8">
        <f>'01_Raw_Data'!B113</f>
        <v/>
      </c>
      <c r="C113">
        <f>PROPER(TRIM('01_Raw_Data'!C113))</f>
        <v/>
      </c>
      <c r="D113">
        <f>PROPER(TRIM('01_Raw_Data'!D113))</f>
        <v/>
      </c>
      <c r="E113">
        <f>PROPER(TRIM('01_Raw_Data'!E113))</f>
        <v/>
      </c>
      <c r="F113">
        <f>PROPER(TRIM('01_Raw_Data'!F113))</f>
        <v/>
      </c>
      <c r="G113">
        <f>PROPER(TRIM('01_Raw_Data'!G113))</f>
        <v/>
      </c>
      <c r="H113">
        <f>PROPER(TRIM('01_Raw_Data'!H113))</f>
        <v/>
      </c>
      <c r="I113">
        <f>'01_Raw_Data'!I113</f>
        <v/>
      </c>
      <c r="J113" s="9">
        <f>'01_Raw_Data'!J113</f>
        <v/>
      </c>
      <c r="K113" s="9">
        <f>IFERROR(I113*J113,0)</f>
        <v/>
      </c>
      <c r="L113">
        <f>YEAR(B113)</f>
        <v/>
      </c>
      <c r="M113">
        <f>TEXT(B113,"mmm")</f>
        <v/>
      </c>
      <c r="N113">
        <f>PROPER(TRIM(E113))</f>
        <v/>
      </c>
      <c r="O113">
        <f>PROPER(TRIM(C113))</f>
        <v/>
      </c>
      <c r="P113" s="9">
        <f>K113*IFERROR(XLOOKUP(D113,'03_Lookups'!$E$5:$E$6,'03_Lookups'!$F$5:$F$6),0)</f>
        <v/>
      </c>
      <c r="Q113" s="10">
        <f>IFERROR(P113/K113,0)</f>
        <v/>
      </c>
      <c r="R113">
        <f>IFS(K113&gt;=50000,"High",K113&gt;=20000,"Medium",TRUE,"Low")</f>
        <v/>
      </c>
    </row>
    <row r="114">
      <c r="A114">
        <f>'01_Raw_Data'!A114</f>
        <v/>
      </c>
      <c r="B114" s="8">
        <f>'01_Raw_Data'!B114</f>
        <v/>
      </c>
      <c r="C114">
        <f>PROPER(TRIM('01_Raw_Data'!C114))</f>
        <v/>
      </c>
      <c r="D114">
        <f>PROPER(TRIM('01_Raw_Data'!D114))</f>
        <v/>
      </c>
      <c r="E114">
        <f>PROPER(TRIM('01_Raw_Data'!E114))</f>
        <v/>
      </c>
      <c r="F114">
        <f>PROPER(TRIM('01_Raw_Data'!F114))</f>
        <v/>
      </c>
      <c r="G114">
        <f>PROPER(TRIM('01_Raw_Data'!G114))</f>
        <v/>
      </c>
      <c r="H114">
        <f>PROPER(TRIM('01_Raw_Data'!H114))</f>
        <v/>
      </c>
      <c r="I114">
        <f>'01_Raw_Data'!I114</f>
        <v/>
      </c>
      <c r="J114" s="9">
        <f>'01_Raw_Data'!J114</f>
        <v/>
      </c>
      <c r="K114" s="9">
        <f>IFERROR(I114*J114,0)</f>
        <v/>
      </c>
      <c r="L114">
        <f>YEAR(B114)</f>
        <v/>
      </c>
      <c r="M114">
        <f>TEXT(B114,"mmm")</f>
        <v/>
      </c>
      <c r="N114">
        <f>PROPER(TRIM(E114))</f>
        <v/>
      </c>
      <c r="O114">
        <f>PROPER(TRIM(C114))</f>
        <v/>
      </c>
      <c r="P114" s="9">
        <f>K114*IFERROR(XLOOKUP(D114,'03_Lookups'!$E$5:$E$6,'03_Lookups'!$F$5:$F$6),0)</f>
        <v/>
      </c>
      <c r="Q114" s="10">
        <f>IFERROR(P114/K114,0)</f>
        <v/>
      </c>
      <c r="R114">
        <f>IFS(K114&gt;=50000,"High",K114&gt;=20000,"Medium",TRUE,"Low")</f>
        <v/>
      </c>
    </row>
    <row r="115">
      <c r="A115">
        <f>'01_Raw_Data'!A115</f>
        <v/>
      </c>
      <c r="B115" s="8">
        <f>'01_Raw_Data'!B115</f>
        <v/>
      </c>
      <c r="C115">
        <f>PROPER(TRIM('01_Raw_Data'!C115))</f>
        <v/>
      </c>
      <c r="D115">
        <f>PROPER(TRIM('01_Raw_Data'!D115))</f>
        <v/>
      </c>
      <c r="E115">
        <f>PROPER(TRIM('01_Raw_Data'!E115))</f>
        <v/>
      </c>
      <c r="F115">
        <f>PROPER(TRIM('01_Raw_Data'!F115))</f>
        <v/>
      </c>
      <c r="G115">
        <f>PROPER(TRIM('01_Raw_Data'!G115))</f>
        <v/>
      </c>
      <c r="H115">
        <f>PROPER(TRIM('01_Raw_Data'!H115))</f>
        <v/>
      </c>
      <c r="I115">
        <f>'01_Raw_Data'!I115</f>
        <v/>
      </c>
      <c r="J115" s="9">
        <f>'01_Raw_Data'!J115</f>
        <v/>
      </c>
      <c r="K115" s="9">
        <f>IFERROR(I115*J115,0)</f>
        <v/>
      </c>
      <c r="L115">
        <f>YEAR(B115)</f>
        <v/>
      </c>
      <c r="M115">
        <f>TEXT(B115,"mmm")</f>
        <v/>
      </c>
      <c r="N115">
        <f>PROPER(TRIM(E115))</f>
        <v/>
      </c>
      <c r="O115">
        <f>PROPER(TRIM(C115))</f>
        <v/>
      </c>
      <c r="P115" s="9">
        <f>K115*IFERROR(XLOOKUP(D115,'03_Lookups'!$E$5:$E$6,'03_Lookups'!$F$5:$F$6),0)</f>
        <v/>
      </c>
      <c r="Q115" s="10">
        <f>IFERROR(P115/K115,0)</f>
        <v/>
      </c>
      <c r="R115">
        <f>IFS(K115&gt;=50000,"High",K115&gt;=20000,"Medium",TRUE,"Low")</f>
        <v/>
      </c>
    </row>
    <row r="116">
      <c r="A116">
        <f>'01_Raw_Data'!A116</f>
        <v/>
      </c>
      <c r="B116" s="8">
        <f>'01_Raw_Data'!B116</f>
        <v/>
      </c>
      <c r="C116">
        <f>PROPER(TRIM('01_Raw_Data'!C116))</f>
        <v/>
      </c>
      <c r="D116">
        <f>PROPER(TRIM('01_Raw_Data'!D116))</f>
        <v/>
      </c>
      <c r="E116">
        <f>PROPER(TRIM('01_Raw_Data'!E116))</f>
        <v/>
      </c>
      <c r="F116">
        <f>PROPER(TRIM('01_Raw_Data'!F116))</f>
        <v/>
      </c>
      <c r="G116">
        <f>PROPER(TRIM('01_Raw_Data'!G116))</f>
        <v/>
      </c>
      <c r="H116">
        <f>PROPER(TRIM('01_Raw_Data'!H116))</f>
        <v/>
      </c>
      <c r="I116">
        <f>'01_Raw_Data'!I116</f>
        <v/>
      </c>
      <c r="J116" s="9">
        <f>'01_Raw_Data'!J116</f>
        <v/>
      </c>
      <c r="K116" s="9">
        <f>IFERROR(I116*J116,0)</f>
        <v/>
      </c>
      <c r="L116">
        <f>YEAR(B116)</f>
        <v/>
      </c>
      <c r="M116">
        <f>TEXT(B116,"mmm")</f>
        <v/>
      </c>
      <c r="N116">
        <f>PROPER(TRIM(E116))</f>
        <v/>
      </c>
      <c r="O116">
        <f>PROPER(TRIM(C116))</f>
        <v/>
      </c>
      <c r="P116" s="9">
        <f>K116*IFERROR(XLOOKUP(D116,'03_Lookups'!$E$5:$E$6,'03_Lookups'!$F$5:$F$6),0)</f>
        <v/>
      </c>
      <c r="Q116" s="10">
        <f>IFERROR(P116/K116,0)</f>
        <v/>
      </c>
      <c r="R116">
        <f>IFS(K116&gt;=50000,"High",K116&gt;=20000,"Medium",TRUE,"Low")</f>
        <v/>
      </c>
    </row>
    <row r="117">
      <c r="A117">
        <f>'01_Raw_Data'!A117</f>
        <v/>
      </c>
      <c r="B117" s="8">
        <f>'01_Raw_Data'!B117</f>
        <v/>
      </c>
      <c r="C117">
        <f>PROPER(TRIM('01_Raw_Data'!C117))</f>
        <v/>
      </c>
      <c r="D117">
        <f>PROPER(TRIM('01_Raw_Data'!D117))</f>
        <v/>
      </c>
      <c r="E117">
        <f>PROPER(TRIM('01_Raw_Data'!E117))</f>
        <v/>
      </c>
      <c r="F117">
        <f>PROPER(TRIM('01_Raw_Data'!F117))</f>
        <v/>
      </c>
      <c r="G117">
        <f>PROPER(TRIM('01_Raw_Data'!G117))</f>
        <v/>
      </c>
      <c r="H117">
        <f>PROPER(TRIM('01_Raw_Data'!H117))</f>
        <v/>
      </c>
      <c r="I117">
        <f>'01_Raw_Data'!I117</f>
        <v/>
      </c>
      <c r="J117" s="9">
        <f>'01_Raw_Data'!J117</f>
        <v/>
      </c>
      <c r="K117" s="9">
        <f>IFERROR(I117*J117,0)</f>
        <v/>
      </c>
      <c r="L117">
        <f>YEAR(B117)</f>
        <v/>
      </c>
      <c r="M117">
        <f>TEXT(B117,"mmm")</f>
        <v/>
      </c>
      <c r="N117">
        <f>PROPER(TRIM(E117))</f>
        <v/>
      </c>
      <c r="O117">
        <f>PROPER(TRIM(C117))</f>
        <v/>
      </c>
      <c r="P117" s="9">
        <f>K117*IFERROR(XLOOKUP(D117,'03_Lookups'!$E$5:$E$6,'03_Lookups'!$F$5:$F$6),0)</f>
        <v/>
      </c>
      <c r="Q117" s="10">
        <f>IFERROR(P117/K117,0)</f>
        <v/>
      </c>
      <c r="R117">
        <f>IFS(K117&gt;=50000,"High",K117&gt;=20000,"Medium",TRUE,"Low")</f>
        <v/>
      </c>
    </row>
    <row r="118">
      <c r="A118">
        <f>'01_Raw_Data'!A118</f>
        <v/>
      </c>
      <c r="B118" s="8">
        <f>'01_Raw_Data'!B118</f>
        <v/>
      </c>
      <c r="C118">
        <f>PROPER(TRIM('01_Raw_Data'!C118))</f>
        <v/>
      </c>
      <c r="D118">
        <f>PROPER(TRIM('01_Raw_Data'!D118))</f>
        <v/>
      </c>
      <c r="E118">
        <f>PROPER(TRIM('01_Raw_Data'!E118))</f>
        <v/>
      </c>
      <c r="F118">
        <f>PROPER(TRIM('01_Raw_Data'!F118))</f>
        <v/>
      </c>
      <c r="G118">
        <f>PROPER(TRIM('01_Raw_Data'!G118))</f>
        <v/>
      </c>
      <c r="H118">
        <f>PROPER(TRIM('01_Raw_Data'!H118))</f>
        <v/>
      </c>
      <c r="I118">
        <f>'01_Raw_Data'!I118</f>
        <v/>
      </c>
      <c r="J118" s="9">
        <f>'01_Raw_Data'!J118</f>
        <v/>
      </c>
      <c r="K118" s="9">
        <f>IFERROR(I118*J118,0)</f>
        <v/>
      </c>
      <c r="L118">
        <f>YEAR(B118)</f>
        <v/>
      </c>
      <c r="M118">
        <f>TEXT(B118,"mmm")</f>
        <v/>
      </c>
      <c r="N118">
        <f>PROPER(TRIM(E118))</f>
        <v/>
      </c>
      <c r="O118">
        <f>PROPER(TRIM(C118))</f>
        <v/>
      </c>
      <c r="P118" s="9">
        <f>K118*IFERROR(XLOOKUP(D118,'03_Lookups'!$E$5:$E$6,'03_Lookups'!$F$5:$F$6),0)</f>
        <v/>
      </c>
      <c r="Q118" s="10">
        <f>IFERROR(P118/K118,0)</f>
        <v/>
      </c>
      <c r="R118">
        <f>IFS(K118&gt;=50000,"High",K118&gt;=20000,"Medium",TRUE,"Low")</f>
        <v/>
      </c>
    </row>
    <row r="119">
      <c r="A119">
        <f>'01_Raw_Data'!A119</f>
        <v/>
      </c>
      <c r="B119" s="8">
        <f>'01_Raw_Data'!B119</f>
        <v/>
      </c>
      <c r="C119">
        <f>PROPER(TRIM('01_Raw_Data'!C119))</f>
        <v/>
      </c>
      <c r="D119">
        <f>PROPER(TRIM('01_Raw_Data'!D119))</f>
        <v/>
      </c>
      <c r="E119">
        <f>PROPER(TRIM('01_Raw_Data'!E119))</f>
        <v/>
      </c>
      <c r="F119">
        <f>PROPER(TRIM('01_Raw_Data'!F119))</f>
        <v/>
      </c>
      <c r="G119">
        <f>PROPER(TRIM('01_Raw_Data'!G119))</f>
        <v/>
      </c>
      <c r="H119">
        <f>PROPER(TRIM('01_Raw_Data'!H119))</f>
        <v/>
      </c>
      <c r="I119">
        <f>'01_Raw_Data'!I119</f>
        <v/>
      </c>
      <c r="J119" s="9">
        <f>'01_Raw_Data'!J119</f>
        <v/>
      </c>
      <c r="K119" s="9">
        <f>IFERROR(I119*J119,0)</f>
        <v/>
      </c>
      <c r="L119">
        <f>YEAR(B119)</f>
        <v/>
      </c>
      <c r="M119">
        <f>TEXT(B119,"mmm")</f>
        <v/>
      </c>
      <c r="N119">
        <f>PROPER(TRIM(E119))</f>
        <v/>
      </c>
      <c r="O119">
        <f>PROPER(TRIM(C119))</f>
        <v/>
      </c>
      <c r="P119" s="9">
        <f>K119*IFERROR(XLOOKUP(D119,'03_Lookups'!$E$5:$E$6,'03_Lookups'!$F$5:$F$6),0)</f>
        <v/>
      </c>
      <c r="Q119" s="10">
        <f>IFERROR(P119/K119,0)</f>
        <v/>
      </c>
      <c r="R119">
        <f>IFS(K119&gt;=50000,"High",K119&gt;=20000,"Medium",TRUE,"Low")</f>
        <v/>
      </c>
    </row>
    <row r="120">
      <c r="A120">
        <f>'01_Raw_Data'!A120</f>
        <v/>
      </c>
      <c r="B120" s="8">
        <f>'01_Raw_Data'!B120</f>
        <v/>
      </c>
      <c r="C120">
        <f>PROPER(TRIM('01_Raw_Data'!C120))</f>
        <v/>
      </c>
      <c r="D120">
        <f>PROPER(TRIM('01_Raw_Data'!D120))</f>
        <v/>
      </c>
      <c r="E120">
        <f>PROPER(TRIM('01_Raw_Data'!E120))</f>
        <v/>
      </c>
      <c r="F120">
        <f>PROPER(TRIM('01_Raw_Data'!F120))</f>
        <v/>
      </c>
      <c r="G120">
        <f>PROPER(TRIM('01_Raw_Data'!G120))</f>
        <v/>
      </c>
      <c r="H120">
        <f>PROPER(TRIM('01_Raw_Data'!H120))</f>
        <v/>
      </c>
      <c r="I120">
        <f>'01_Raw_Data'!I120</f>
        <v/>
      </c>
      <c r="J120" s="9">
        <f>'01_Raw_Data'!J120</f>
        <v/>
      </c>
      <c r="K120" s="9">
        <f>IFERROR(I120*J120,0)</f>
        <v/>
      </c>
      <c r="L120">
        <f>YEAR(B120)</f>
        <v/>
      </c>
      <c r="M120">
        <f>TEXT(B120,"mmm")</f>
        <v/>
      </c>
      <c r="N120">
        <f>PROPER(TRIM(E120))</f>
        <v/>
      </c>
      <c r="O120">
        <f>PROPER(TRIM(C120))</f>
        <v/>
      </c>
      <c r="P120" s="9">
        <f>K120*IFERROR(XLOOKUP(D120,'03_Lookups'!$E$5:$E$6,'03_Lookups'!$F$5:$F$6),0)</f>
        <v/>
      </c>
      <c r="Q120" s="10">
        <f>IFERROR(P120/K120,0)</f>
        <v/>
      </c>
      <c r="R120">
        <f>IFS(K120&gt;=50000,"High",K120&gt;=20000,"Medium",TRUE,"Low")</f>
        <v/>
      </c>
    </row>
    <row r="121">
      <c r="A121">
        <f>'01_Raw_Data'!A121</f>
        <v/>
      </c>
      <c r="B121" s="8">
        <f>'01_Raw_Data'!B121</f>
        <v/>
      </c>
      <c r="C121">
        <f>PROPER(TRIM('01_Raw_Data'!C121))</f>
        <v/>
      </c>
      <c r="D121">
        <f>PROPER(TRIM('01_Raw_Data'!D121))</f>
        <v/>
      </c>
      <c r="E121">
        <f>PROPER(TRIM('01_Raw_Data'!E121))</f>
        <v/>
      </c>
      <c r="F121">
        <f>PROPER(TRIM('01_Raw_Data'!F121))</f>
        <v/>
      </c>
      <c r="G121">
        <f>PROPER(TRIM('01_Raw_Data'!G121))</f>
        <v/>
      </c>
      <c r="H121">
        <f>PROPER(TRIM('01_Raw_Data'!H121))</f>
        <v/>
      </c>
      <c r="I121">
        <f>'01_Raw_Data'!I121</f>
        <v/>
      </c>
      <c r="J121" s="9">
        <f>'01_Raw_Data'!J121</f>
        <v/>
      </c>
      <c r="K121" s="9">
        <f>IFERROR(I121*J121,0)</f>
        <v/>
      </c>
      <c r="L121">
        <f>YEAR(B121)</f>
        <v/>
      </c>
      <c r="M121">
        <f>TEXT(B121,"mmm")</f>
        <v/>
      </c>
      <c r="N121">
        <f>PROPER(TRIM(E121))</f>
        <v/>
      </c>
      <c r="O121">
        <f>PROPER(TRIM(C121))</f>
        <v/>
      </c>
      <c r="P121" s="9">
        <f>K121*IFERROR(XLOOKUP(D121,'03_Lookups'!$E$5:$E$6,'03_Lookups'!$F$5:$F$6),0)</f>
        <v/>
      </c>
      <c r="Q121" s="10">
        <f>IFERROR(P121/K121,0)</f>
        <v/>
      </c>
      <c r="R121">
        <f>IFS(K121&gt;=50000,"High",K121&gt;=20000,"Medium",TRUE,"Low")</f>
        <v/>
      </c>
    </row>
    <row r="122">
      <c r="A122">
        <f>'01_Raw_Data'!A122</f>
        <v/>
      </c>
      <c r="B122" s="8">
        <f>'01_Raw_Data'!B122</f>
        <v/>
      </c>
      <c r="C122">
        <f>PROPER(TRIM('01_Raw_Data'!C122))</f>
        <v/>
      </c>
      <c r="D122">
        <f>PROPER(TRIM('01_Raw_Data'!D122))</f>
        <v/>
      </c>
      <c r="E122">
        <f>PROPER(TRIM('01_Raw_Data'!E122))</f>
        <v/>
      </c>
      <c r="F122">
        <f>PROPER(TRIM('01_Raw_Data'!F122))</f>
        <v/>
      </c>
      <c r="G122">
        <f>PROPER(TRIM('01_Raw_Data'!G122))</f>
        <v/>
      </c>
      <c r="H122">
        <f>PROPER(TRIM('01_Raw_Data'!H122))</f>
        <v/>
      </c>
      <c r="I122">
        <f>'01_Raw_Data'!I122</f>
        <v/>
      </c>
      <c r="J122" s="9">
        <f>'01_Raw_Data'!J122</f>
        <v/>
      </c>
      <c r="K122" s="9">
        <f>IFERROR(I122*J122,0)</f>
        <v/>
      </c>
      <c r="L122">
        <f>YEAR(B122)</f>
        <v/>
      </c>
      <c r="M122">
        <f>TEXT(B122,"mmm")</f>
        <v/>
      </c>
      <c r="N122">
        <f>PROPER(TRIM(E122))</f>
        <v/>
      </c>
      <c r="O122">
        <f>PROPER(TRIM(C122))</f>
        <v/>
      </c>
      <c r="P122" s="9">
        <f>K122*IFERROR(XLOOKUP(D122,'03_Lookups'!$E$5:$E$6,'03_Lookups'!$F$5:$F$6),0)</f>
        <v/>
      </c>
      <c r="Q122" s="10">
        <f>IFERROR(P122/K122,0)</f>
        <v/>
      </c>
      <c r="R122">
        <f>IFS(K122&gt;=50000,"High",K122&gt;=20000,"Medium",TRUE,"Low")</f>
        <v/>
      </c>
    </row>
    <row r="123">
      <c r="A123">
        <f>'01_Raw_Data'!A123</f>
        <v/>
      </c>
      <c r="B123" s="8">
        <f>'01_Raw_Data'!B123</f>
        <v/>
      </c>
      <c r="C123">
        <f>PROPER(TRIM('01_Raw_Data'!C123))</f>
        <v/>
      </c>
      <c r="D123">
        <f>PROPER(TRIM('01_Raw_Data'!D123))</f>
        <v/>
      </c>
      <c r="E123">
        <f>PROPER(TRIM('01_Raw_Data'!E123))</f>
        <v/>
      </c>
      <c r="F123">
        <f>PROPER(TRIM('01_Raw_Data'!F123))</f>
        <v/>
      </c>
      <c r="G123">
        <f>PROPER(TRIM('01_Raw_Data'!G123))</f>
        <v/>
      </c>
      <c r="H123">
        <f>PROPER(TRIM('01_Raw_Data'!H123))</f>
        <v/>
      </c>
      <c r="I123">
        <f>'01_Raw_Data'!I123</f>
        <v/>
      </c>
      <c r="J123" s="9">
        <f>'01_Raw_Data'!J123</f>
        <v/>
      </c>
      <c r="K123" s="9">
        <f>IFERROR(I123*J123,0)</f>
        <v/>
      </c>
      <c r="L123">
        <f>YEAR(B123)</f>
        <v/>
      </c>
      <c r="M123">
        <f>TEXT(B123,"mmm")</f>
        <v/>
      </c>
      <c r="N123">
        <f>PROPER(TRIM(E123))</f>
        <v/>
      </c>
      <c r="O123">
        <f>PROPER(TRIM(C123))</f>
        <v/>
      </c>
      <c r="P123" s="9">
        <f>K123*IFERROR(XLOOKUP(D123,'03_Lookups'!$E$5:$E$6,'03_Lookups'!$F$5:$F$6),0)</f>
        <v/>
      </c>
      <c r="Q123" s="10">
        <f>IFERROR(P123/K123,0)</f>
        <v/>
      </c>
      <c r="R123">
        <f>IFS(K123&gt;=50000,"High",K123&gt;=20000,"Medium",TRUE,"Low")</f>
        <v/>
      </c>
    </row>
    <row r="124">
      <c r="A124">
        <f>'01_Raw_Data'!A124</f>
        <v/>
      </c>
      <c r="B124" s="8">
        <f>'01_Raw_Data'!B124</f>
        <v/>
      </c>
      <c r="C124">
        <f>PROPER(TRIM('01_Raw_Data'!C124))</f>
        <v/>
      </c>
      <c r="D124">
        <f>PROPER(TRIM('01_Raw_Data'!D124))</f>
        <v/>
      </c>
      <c r="E124">
        <f>PROPER(TRIM('01_Raw_Data'!E124))</f>
        <v/>
      </c>
      <c r="F124">
        <f>PROPER(TRIM('01_Raw_Data'!F124))</f>
        <v/>
      </c>
      <c r="G124">
        <f>PROPER(TRIM('01_Raw_Data'!G124))</f>
        <v/>
      </c>
      <c r="H124">
        <f>PROPER(TRIM('01_Raw_Data'!H124))</f>
        <v/>
      </c>
      <c r="I124">
        <f>'01_Raw_Data'!I124</f>
        <v/>
      </c>
      <c r="J124" s="9">
        <f>'01_Raw_Data'!J124</f>
        <v/>
      </c>
      <c r="K124" s="9">
        <f>IFERROR(I124*J124,0)</f>
        <v/>
      </c>
      <c r="L124">
        <f>YEAR(B124)</f>
        <v/>
      </c>
      <c r="M124">
        <f>TEXT(B124,"mmm")</f>
        <v/>
      </c>
      <c r="N124">
        <f>PROPER(TRIM(E124))</f>
        <v/>
      </c>
      <c r="O124">
        <f>PROPER(TRIM(C124))</f>
        <v/>
      </c>
      <c r="P124" s="9">
        <f>K124*IFERROR(XLOOKUP(D124,'03_Lookups'!$E$5:$E$6,'03_Lookups'!$F$5:$F$6),0)</f>
        <v/>
      </c>
      <c r="Q124" s="10">
        <f>IFERROR(P124/K124,0)</f>
        <v/>
      </c>
      <c r="R124">
        <f>IFS(K124&gt;=50000,"High",K124&gt;=20000,"Medium",TRUE,"Low")</f>
        <v/>
      </c>
    </row>
    <row r="125">
      <c r="A125">
        <f>'01_Raw_Data'!A125</f>
        <v/>
      </c>
      <c r="B125" s="8">
        <f>'01_Raw_Data'!B125</f>
        <v/>
      </c>
      <c r="C125">
        <f>PROPER(TRIM('01_Raw_Data'!C125))</f>
        <v/>
      </c>
      <c r="D125">
        <f>PROPER(TRIM('01_Raw_Data'!D125))</f>
        <v/>
      </c>
      <c r="E125">
        <f>PROPER(TRIM('01_Raw_Data'!E125))</f>
        <v/>
      </c>
      <c r="F125">
        <f>PROPER(TRIM('01_Raw_Data'!F125))</f>
        <v/>
      </c>
      <c r="G125">
        <f>PROPER(TRIM('01_Raw_Data'!G125))</f>
        <v/>
      </c>
      <c r="H125">
        <f>PROPER(TRIM('01_Raw_Data'!H125))</f>
        <v/>
      </c>
      <c r="I125">
        <f>'01_Raw_Data'!I125</f>
        <v/>
      </c>
      <c r="J125" s="9">
        <f>'01_Raw_Data'!J125</f>
        <v/>
      </c>
      <c r="K125" s="9">
        <f>IFERROR(I125*J125,0)</f>
        <v/>
      </c>
      <c r="L125">
        <f>YEAR(B125)</f>
        <v/>
      </c>
      <c r="M125">
        <f>TEXT(B125,"mmm")</f>
        <v/>
      </c>
      <c r="N125">
        <f>PROPER(TRIM(E125))</f>
        <v/>
      </c>
      <c r="O125">
        <f>PROPER(TRIM(C125))</f>
        <v/>
      </c>
      <c r="P125" s="9">
        <f>K125*IFERROR(XLOOKUP(D125,'03_Lookups'!$E$5:$E$6,'03_Lookups'!$F$5:$F$6),0)</f>
        <v/>
      </c>
      <c r="Q125" s="10">
        <f>IFERROR(P125/K125,0)</f>
        <v/>
      </c>
      <c r="R125">
        <f>IFS(K125&gt;=50000,"High",K125&gt;=20000,"Medium",TRUE,"Low")</f>
        <v/>
      </c>
    </row>
    <row r="126">
      <c r="A126">
        <f>'01_Raw_Data'!A126</f>
        <v/>
      </c>
      <c r="B126" s="8">
        <f>'01_Raw_Data'!B126</f>
        <v/>
      </c>
      <c r="C126">
        <f>PROPER(TRIM('01_Raw_Data'!C126))</f>
        <v/>
      </c>
      <c r="D126">
        <f>PROPER(TRIM('01_Raw_Data'!D126))</f>
        <v/>
      </c>
      <c r="E126">
        <f>PROPER(TRIM('01_Raw_Data'!E126))</f>
        <v/>
      </c>
      <c r="F126">
        <f>PROPER(TRIM('01_Raw_Data'!F126))</f>
        <v/>
      </c>
      <c r="G126">
        <f>PROPER(TRIM('01_Raw_Data'!G126))</f>
        <v/>
      </c>
      <c r="H126">
        <f>PROPER(TRIM('01_Raw_Data'!H126))</f>
        <v/>
      </c>
      <c r="I126">
        <f>'01_Raw_Data'!I126</f>
        <v/>
      </c>
      <c r="J126" s="9">
        <f>'01_Raw_Data'!J126</f>
        <v/>
      </c>
      <c r="K126" s="9">
        <f>IFERROR(I126*J126,0)</f>
        <v/>
      </c>
      <c r="L126">
        <f>YEAR(B126)</f>
        <v/>
      </c>
      <c r="M126">
        <f>TEXT(B126,"mmm")</f>
        <v/>
      </c>
      <c r="N126">
        <f>PROPER(TRIM(E126))</f>
        <v/>
      </c>
      <c r="O126">
        <f>PROPER(TRIM(C126))</f>
        <v/>
      </c>
      <c r="P126" s="9">
        <f>K126*IFERROR(XLOOKUP(D126,'03_Lookups'!$E$5:$E$6,'03_Lookups'!$F$5:$F$6),0)</f>
        <v/>
      </c>
      <c r="Q126" s="10">
        <f>IFERROR(P126/K126,0)</f>
        <v/>
      </c>
      <c r="R126">
        <f>IFS(K126&gt;=50000,"High",K126&gt;=20000,"Medium",TRUE,"Low")</f>
        <v/>
      </c>
    </row>
    <row r="127">
      <c r="A127">
        <f>'01_Raw_Data'!A127</f>
        <v/>
      </c>
      <c r="B127" s="8">
        <f>'01_Raw_Data'!B127</f>
        <v/>
      </c>
      <c r="C127">
        <f>PROPER(TRIM('01_Raw_Data'!C127))</f>
        <v/>
      </c>
      <c r="D127">
        <f>PROPER(TRIM('01_Raw_Data'!D127))</f>
        <v/>
      </c>
      <c r="E127">
        <f>PROPER(TRIM('01_Raw_Data'!E127))</f>
        <v/>
      </c>
      <c r="F127">
        <f>PROPER(TRIM('01_Raw_Data'!F127))</f>
        <v/>
      </c>
      <c r="G127">
        <f>PROPER(TRIM('01_Raw_Data'!G127))</f>
        <v/>
      </c>
      <c r="H127">
        <f>PROPER(TRIM('01_Raw_Data'!H127))</f>
        <v/>
      </c>
      <c r="I127">
        <f>'01_Raw_Data'!I127</f>
        <v/>
      </c>
      <c r="J127" s="9">
        <f>'01_Raw_Data'!J127</f>
        <v/>
      </c>
      <c r="K127" s="9">
        <f>IFERROR(I127*J127,0)</f>
        <v/>
      </c>
      <c r="L127">
        <f>YEAR(B127)</f>
        <v/>
      </c>
      <c r="M127">
        <f>TEXT(B127,"mmm")</f>
        <v/>
      </c>
      <c r="N127">
        <f>PROPER(TRIM(E127))</f>
        <v/>
      </c>
      <c r="O127">
        <f>PROPER(TRIM(C127))</f>
        <v/>
      </c>
      <c r="P127" s="9">
        <f>K127*IFERROR(XLOOKUP(D127,'03_Lookups'!$E$5:$E$6,'03_Lookups'!$F$5:$F$6),0)</f>
        <v/>
      </c>
      <c r="Q127" s="10">
        <f>IFERROR(P127/K127,0)</f>
        <v/>
      </c>
      <c r="R127">
        <f>IFS(K127&gt;=50000,"High",K127&gt;=20000,"Medium",TRUE,"Low")</f>
        <v/>
      </c>
    </row>
    <row r="128">
      <c r="A128">
        <f>'01_Raw_Data'!A128</f>
        <v/>
      </c>
      <c r="B128" s="8">
        <f>'01_Raw_Data'!B128</f>
        <v/>
      </c>
      <c r="C128">
        <f>PROPER(TRIM('01_Raw_Data'!C128))</f>
        <v/>
      </c>
      <c r="D128">
        <f>PROPER(TRIM('01_Raw_Data'!D128))</f>
        <v/>
      </c>
      <c r="E128">
        <f>PROPER(TRIM('01_Raw_Data'!E128))</f>
        <v/>
      </c>
      <c r="F128">
        <f>PROPER(TRIM('01_Raw_Data'!F128))</f>
        <v/>
      </c>
      <c r="G128">
        <f>PROPER(TRIM('01_Raw_Data'!G128))</f>
        <v/>
      </c>
      <c r="H128">
        <f>PROPER(TRIM('01_Raw_Data'!H128))</f>
        <v/>
      </c>
      <c r="I128">
        <f>'01_Raw_Data'!I128</f>
        <v/>
      </c>
      <c r="J128" s="9">
        <f>'01_Raw_Data'!J128</f>
        <v/>
      </c>
      <c r="K128" s="9">
        <f>IFERROR(I128*J128,0)</f>
        <v/>
      </c>
      <c r="L128">
        <f>YEAR(B128)</f>
        <v/>
      </c>
      <c r="M128">
        <f>TEXT(B128,"mmm")</f>
        <v/>
      </c>
      <c r="N128">
        <f>PROPER(TRIM(E128))</f>
        <v/>
      </c>
      <c r="O128">
        <f>PROPER(TRIM(C128))</f>
        <v/>
      </c>
      <c r="P128" s="9">
        <f>K128*IFERROR(XLOOKUP(D128,'03_Lookups'!$E$5:$E$6,'03_Lookups'!$F$5:$F$6),0)</f>
        <v/>
      </c>
      <c r="Q128" s="10">
        <f>IFERROR(P128/K128,0)</f>
        <v/>
      </c>
      <c r="R128">
        <f>IFS(K128&gt;=50000,"High",K128&gt;=20000,"Medium",TRUE,"Low")</f>
        <v/>
      </c>
    </row>
    <row r="129">
      <c r="A129">
        <f>'01_Raw_Data'!A129</f>
        <v/>
      </c>
      <c r="B129" s="8">
        <f>'01_Raw_Data'!B129</f>
        <v/>
      </c>
      <c r="C129">
        <f>PROPER(TRIM('01_Raw_Data'!C129))</f>
        <v/>
      </c>
      <c r="D129">
        <f>PROPER(TRIM('01_Raw_Data'!D129))</f>
        <v/>
      </c>
      <c r="E129">
        <f>PROPER(TRIM('01_Raw_Data'!E129))</f>
        <v/>
      </c>
      <c r="F129">
        <f>PROPER(TRIM('01_Raw_Data'!F129))</f>
        <v/>
      </c>
      <c r="G129">
        <f>PROPER(TRIM('01_Raw_Data'!G129))</f>
        <v/>
      </c>
      <c r="H129">
        <f>PROPER(TRIM('01_Raw_Data'!H129))</f>
        <v/>
      </c>
      <c r="I129">
        <f>'01_Raw_Data'!I129</f>
        <v/>
      </c>
      <c r="J129" s="9">
        <f>'01_Raw_Data'!J129</f>
        <v/>
      </c>
      <c r="K129" s="9">
        <f>IFERROR(I129*J129,0)</f>
        <v/>
      </c>
      <c r="L129">
        <f>YEAR(B129)</f>
        <v/>
      </c>
      <c r="M129">
        <f>TEXT(B129,"mmm")</f>
        <v/>
      </c>
      <c r="N129">
        <f>PROPER(TRIM(E129))</f>
        <v/>
      </c>
      <c r="O129">
        <f>PROPER(TRIM(C129))</f>
        <v/>
      </c>
      <c r="P129" s="9">
        <f>K129*IFERROR(XLOOKUP(D129,'03_Lookups'!$E$5:$E$6,'03_Lookups'!$F$5:$F$6),0)</f>
        <v/>
      </c>
      <c r="Q129" s="10">
        <f>IFERROR(P129/K129,0)</f>
        <v/>
      </c>
      <c r="R129">
        <f>IFS(K129&gt;=50000,"High",K129&gt;=20000,"Medium",TRUE,"Low")</f>
        <v/>
      </c>
    </row>
    <row r="130">
      <c r="A130">
        <f>'01_Raw_Data'!A130</f>
        <v/>
      </c>
      <c r="B130" s="8">
        <f>'01_Raw_Data'!B130</f>
        <v/>
      </c>
      <c r="C130">
        <f>PROPER(TRIM('01_Raw_Data'!C130))</f>
        <v/>
      </c>
      <c r="D130">
        <f>PROPER(TRIM('01_Raw_Data'!D130))</f>
        <v/>
      </c>
      <c r="E130">
        <f>PROPER(TRIM('01_Raw_Data'!E130))</f>
        <v/>
      </c>
      <c r="F130">
        <f>PROPER(TRIM('01_Raw_Data'!F130))</f>
        <v/>
      </c>
      <c r="G130">
        <f>PROPER(TRIM('01_Raw_Data'!G130))</f>
        <v/>
      </c>
      <c r="H130">
        <f>PROPER(TRIM('01_Raw_Data'!H130))</f>
        <v/>
      </c>
      <c r="I130">
        <f>'01_Raw_Data'!I130</f>
        <v/>
      </c>
      <c r="J130" s="9">
        <f>'01_Raw_Data'!J130</f>
        <v/>
      </c>
      <c r="K130" s="9">
        <f>IFERROR(I130*J130,0)</f>
        <v/>
      </c>
      <c r="L130">
        <f>YEAR(B130)</f>
        <v/>
      </c>
      <c r="M130">
        <f>TEXT(B130,"mmm")</f>
        <v/>
      </c>
      <c r="N130">
        <f>PROPER(TRIM(E130))</f>
        <v/>
      </c>
      <c r="O130">
        <f>PROPER(TRIM(C130))</f>
        <v/>
      </c>
      <c r="P130" s="9">
        <f>K130*IFERROR(XLOOKUP(D130,'03_Lookups'!$E$5:$E$6,'03_Lookups'!$F$5:$F$6),0)</f>
        <v/>
      </c>
      <c r="Q130" s="10">
        <f>IFERROR(P130/K130,0)</f>
        <v/>
      </c>
      <c r="R130">
        <f>IFS(K130&gt;=50000,"High",K130&gt;=20000,"Medium",TRUE,"Low")</f>
        <v/>
      </c>
    </row>
    <row r="131">
      <c r="A131">
        <f>'01_Raw_Data'!A131</f>
        <v/>
      </c>
      <c r="B131" s="8">
        <f>'01_Raw_Data'!B131</f>
        <v/>
      </c>
      <c r="C131">
        <f>PROPER(TRIM('01_Raw_Data'!C131))</f>
        <v/>
      </c>
      <c r="D131">
        <f>PROPER(TRIM('01_Raw_Data'!D131))</f>
        <v/>
      </c>
      <c r="E131">
        <f>PROPER(TRIM('01_Raw_Data'!E131))</f>
        <v/>
      </c>
      <c r="F131">
        <f>PROPER(TRIM('01_Raw_Data'!F131))</f>
        <v/>
      </c>
      <c r="G131">
        <f>PROPER(TRIM('01_Raw_Data'!G131))</f>
        <v/>
      </c>
      <c r="H131">
        <f>PROPER(TRIM('01_Raw_Data'!H131))</f>
        <v/>
      </c>
      <c r="I131">
        <f>'01_Raw_Data'!I131</f>
        <v/>
      </c>
      <c r="J131" s="9">
        <f>'01_Raw_Data'!J131</f>
        <v/>
      </c>
      <c r="K131" s="9">
        <f>IFERROR(I131*J131,0)</f>
        <v/>
      </c>
      <c r="L131">
        <f>YEAR(B131)</f>
        <v/>
      </c>
      <c r="M131">
        <f>TEXT(B131,"mmm")</f>
        <v/>
      </c>
      <c r="N131">
        <f>PROPER(TRIM(E131))</f>
        <v/>
      </c>
      <c r="O131">
        <f>PROPER(TRIM(C131))</f>
        <v/>
      </c>
      <c r="P131" s="9">
        <f>K131*IFERROR(XLOOKUP(D131,'03_Lookups'!$E$5:$E$6,'03_Lookups'!$F$5:$F$6),0)</f>
        <v/>
      </c>
      <c r="Q131" s="10">
        <f>IFERROR(P131/K131,0)</f>
        <v/>
      </c>
      <c r="R131">
        <f>IFS(K131&gt;=50000,"High",K131&gt;=20000,"Medium",TRUE,"Low")</f>
        <v/>
      </c>
    </row>
    <row r="132">
      <c r="A132">
        <f>'01_Raw_Data'!A132</f>
        <v/>
      </c>
      <c r="B132" s="8">
        <f>'01_Raw_Data'!B132</f>
        <v/>
      </c>
      <c r="C132">
        <f>PROPER(TRIM('01_Raw_Data'!C132))</f>
        <v/>
      </c>
      <c r="D132">
        <f>PROPER(TRIM('01_Raw_Data'!D132))</f>
        <v/>
      </c>
      <c r="E132">
        <f>PROPER(TRIM('01_Raw_Data'!E132))</f>
        <v/>
      </c>
      <c r="F132">
        <f>PROPER(TRIM('01_Raw_Data'!F132))</f>
        <v/>
      </c>
      <c r="G132">
        <f>PROPER(TRIM('01_Raw_Data'!G132))</f>
        <v/>
      </c>
      <c r="H132">
        <f>PROPER(TRIM('01_Raw_Data'!H132))</f>
        <v/>
      </c>
      <c r="I132">
        <f>'01_Raw_Data'!I132</f>
        <v/>
      </c>
      <c r="J132" s="9">
        <f>'01_Raw_Data'!J132</f>
        <v/>
      </c>
      <c r="K132" s="9">
        <f>IFERROR(I132*J132,0)</f>
        <v/>
      </c>
      <c r="L132">
        <f>YEAR(B132)</f>
        <v/>
      </c>
      <c r="M132">
        <f>TEXT(B132,"mmm")</f>
        <v/>
      </c>
      <c r="N132">
        <f>PROPER(TRIM(E132))</f>
        <v/>
      </c>
      <c r="O132">
        <f>PROPER(TRIM(C132))</f>
        <v/>
      </c>
      <c r="P132" s="9">
        <f>K132*IFERROR(XLOOKUP(D132,'03_Lookups'!$E$5:$E$6,'03_Lookups'!$F$5:$F$6),0)</f>
        <v/>
      </c>
      <c r="Q132" s="10">
        <f>IFERROR(P132/K132,0)</f>
        <v/>
      </c>
      <c r="R132">
        <f>IFS(K132&gt;=50000,"High",K132&gt;=20000,"Medium",TRUE,"Low")</f>
        <v/>
      </c>
    </row>
    <row r="133">
      <c r="A133">
        <f>'01_Raw_Data'!A133</f>
        <v/>
      </c>
      <c r="B133" s="8">
        <f>'01_Raw_Data'!B133</f>
        <v/>
      </c>
      <c r="C133">
        <f>PROPER(TRIM('01_Raw_Data'!C133))</f>
        <v/>
      </c>
      <c r="D133">
        <f>PROPER(TRIM('01_Raw_Data'!D133))</f>
        <v/>
      </c>
      <c r="E133">
        <f>PROPER(TRIM('01_Raw_Data'!E133))</f>
        <v/>
      </c>
      <c r="F133">
        <f>PROPER(TRIM('01_Raw_Data'!F133))</f>
        <v/>
      </c>
      <c r="G133">
        <f>PROPER(TRIM('01_Raw_Data'!G133))</f>
        <v/>
      </c>
      <c r="H133">
        <f>PROPER(TRIM('01_Raw_Data'!H133))</f>
        <v/>
      </c>
      <c r="I133">
        <f>'01_Raw_Data'!I133</f>
        <v/>
      </c>
      <c r="J133" s="9">
        <f>'01_Raw_Data'!J133</f>
        <v/>
      </c>
      <c r="K133" s="9">
        <f>IFERROR(I133*J133,0)</f>
        <v/>
      </c>
      <c r="L133">
        <f>YEAR(B133)</f>
        <v/>
      </c>
      <c r="M133">
        <f>TEXT(B133,"mmm")</f>
        <v/>
      </c>
      <c r="N133">
        <f>PROPER(TRIM(E133))</f>
        <v/>
      </c>
      <c r="O133">
        <f>PROPER(TRIM(C133))</f>
        <v/>
      </c>
      <c r="P133" s="9">
        <f>K133*IFERROR(XLOOKUP(D133,'03_Lookups'!$E$5:$E$6,'03_Lookups'!$F$5:$F$6),0)</f>
        <v/>
      </c>
      <c r="Q133" s="10">
        <f>IFERROR(P133/K133,0)</f>
        <v/>
      </c>
      <c r="R133">
        <f>IFS(K133&gt;=50000,"High",K133&gt;=20000,"Medium",TRUE,"Low")</f>
        <v/>
      </c>
    </row>
    <row r="134">
      <c r="A134">
        <f>'01_Raw_Data'!A134</f>
        <v/>
      </c>
      <c r="B134" s="8">
        <f>'01_Raw_Data'!B134</f>
        <v/>
      </c>
      <c r="C134">
        <f>PROPER(TRIM('01_Raw_Data'!C134))</f>
        <v/>
      </c>
      <c r="D134">
        <f>PROPER(TRIM('01_Raw_Data'!D134))</f>
        <v/>
      </c>
      <c r="E134">
        <f>PROPER(TRIM('01_Raw_Data'!E134))</f>
        <v/>
      </c>
      <c r="F134">
        <f>PROPER(TRIM('01_Raw_Data'!F134))</f>
        <v/>
      </c>
      <c r="G134">
        <f>PROPER(TRIM('01_Raw_Data'!G134))</f>
        <v/>
      </c>
      <c r="H134">
        <f>PROPER(TRIM('01_Raw_Data'!H134))</f>
        <v/>
      </c>
      <c r="I134">
        <f>'01_Raw_Data'!I134</f>
        <v/>
      </c>
      <c r="J134" s="9">
        <f>'01_Raw_Data'!J134</f>
        <v/>
      </c>
      <c r="K134" s="9">
        <f>IFERROR(I134*J134,0)</f>
        <v/>
      </c>
      <c r="L134">
        <f>YEAR(B134)</f>
        <v/>
      </c>
      <c r="M134">
        <f>TEXT(B134,"mmm")</f>
        <v/>
      </c>
      <c r="N134">
        <f>PROPER(TRIM(E134))</f>
        <v/>
      </c>
      <c r="O134">
        <f>PROPER(TRIM(C134))</f>
        <v/>
      </c>
      <c r="P134" s="9">
        <f>K134*IFERROR(XLOOKUP(D134,'03_Lookups'!$E$5:$E$6,'03_Lookups'!$F$5:$F$6),0)</f>
        <v/>
      </c>
      <c r="Q134" s="10">
        <f>IFERROR(P134/K134,0)</f>
        <v/>
      </c>
      <c r="R134">
        <f>IFS(K134&gt;=50000,"High",K134&gt;=20000,"Medium",TRUE,"Low")</f>
        <v/>
      </c>
    </row>
    <row r="135">
      <c r="A135">
        <f>'01_Raw_Data'!A135</f>
        <v/>
      </c>
      <c r="B135" s="8">
        <f>'01_Raw_Data'!B135</f>
        <v/>
      </c>
      <c r="C135">
        <f>PROPER(TRIM('01_Raw_Data'!C135))</f>
        <v/>
      </c>
      <c r="D135">
        <f>PROPER(TRIM('01_Raw_Data'!D135))</f>
        <v/>
      </c>
      <c r="E135">
        <f>PROPER(TRIM('01_Raw_Data'!E135))</f>
        <v/>
      </c>
      <c r="F135">
        <f>PROPER(TRIM('01_Raw_Data'!F135))</f>
        <v/>
      </c>
      <c r="G135">
        <f>PROPER(TRIM('01_Raw_Data'!G135))</f>
        <v/>
      </c>
      <c r="H135">
        <f>PROPER(TRIM('01_Raw_Data'!H135))</f>
        <v/>
      </c>
      <c r="I135">
        <f>'01_Raw_Data'!I135</f>
        <v/>
      </c>
      <c r="J135" s="9">
        <f>'01_Raw_Data'!J135</f>
        <v/>
      </c>
      <c r="K135" s="9">
        <f>IFERROR(I135*J135,0)</f>
        <v/>
      </c>
      <c r="L135">
        <f>YEAR(B135)</f>
        <v/>
      </c>
      <c r="M135">
        <f>TEXT(B135,"mmm")</f>
        <v/>
      </c>
      <c r="N135">
        <f>PROPER(TRIM(E135))</f>
        <v/>
      </c>
      <c r="O135">
        <f>PROPER(TRIM(C135))</f>
        <v/>
      </c>
      <c r="P135" s="9">
        <f>K135*IFERROR(XLOOKUP(D135,'03_Lookups'!$E$5:$E$6,'03_Lookups'!$F$5:$F$6),0)</f>
        <v/>
      </c>
      <c r="Q135" s="10">
        <f>IFERROR(P135/K135,0)</f>
        <v/>
      </c>
      <c r="R135">
        <f>IFS(K135&gt;=50000,"High",K135&gt;=20000,"Medium",TRUE,"Low")</f>
        <v/>
      </c>
    </row>
    <row r="136">
      <c r="A136">
        <f>'01_Raw_Data'!A136</f>
        <v/>
      </c>
      <c r="B136" s="8">
        <f>'01_Raw_Data'!B136</f>
        <v/>
      </c>
      <c r="C136">
        <f>PROPER(TRIM('01_Raw_Data'!C136))</f>
        <v/>
      </c>
      <c r="D136">
        <f>PROPER(TRIM('01_Raw_Data'!D136))</f>
        <v/>
      </c>
      <c r="E136">
        <f>PROPER(TRIM('01_Raw_Data'!E136))</f>
        <v/>
      </c>
      <c r="F136">
        <f>PROPER(TRIM('01_Raw_Data'!F136))</f>
        <v/>
      </c>
      <c r="G136">
        <f>PROPER(TRIM('01_Raw_Data'!G136))</f>
        <v/>
      </c>
      <c r="H136">
        <f>PROPER(TRIM('01_Raw_Data'!H136))</f>
        <v/>
      </c>
      <c r="I136">
        <f>'01_Raw_Data'!I136</f>
        <v/>
      </c>
      <c r="J136" s="9">
        <f>'01_Raw_Data'!J136</f>
        <v/>
      </c>
      <c r="K136" s="9">
        <f>IFERROR(I136*J136,0)</f>
        <v/>
      </c>
      <c r="L136">
        <f>YEAR(B136)</f>
        <v/>
      </c>
      <c r="M136">
        <f>TEXT(B136,"mmm")</f>
        <v/>
      </c>
      <c r="N136">
        <f>PROPER(TRIM(E136))</f>
        <v/>
      </c>
      <c r="O136">
        <f>PROPER(TRIM(C136))</f>
        <v/>
      </c>
      <c r="P136" s="9">
        <f>K136*IFERROR(XLOOKUP(D136,'03_Lookups'!$E$5:$E$6,'03_Lookups'!$F$5:$F$6),0)</f>
        <v/>
      </c>
      <c r="Q136" s="10">
        <f>IFERROR(P136/K136,0)</f>
        <v/>
      </c>
      <c r="R136">
        <f>IFS(K136&gt;=50000,"High",K136&gt;=20000,"Medium",TRUE,"Low")</f>
        <v/>
      </c>
    </row>
    <row r="137">
      <c r="A137">
        <f>'01_Raw_Data'!A137</f>
        <v/>
      </c>
      <c r="B137" s="8">
        <f>'01_Raw_Data'!B137</f>
        <v/>
      </c>
      <c r="C137">
        <f>PROPER(TRIM('01_Raw_Data'!C137))</f>
        <v/>
      </c>
      <c r="D137">
        <f>PROPER(TRIM('01_Raw_Data'!D137))</f>
        <v/>
      </c>
      <c r="E137">
        <f>PROPER(TRIM('01_Raw_Data'!E137))</f>
        <v/>
      </c>
      <c r="F137">
        <f>PROPER(TRIM('01_Raw_Data'!F137))</f>
        <v/>
      </c>
      <c r="G137">
        <f>PROPER(TRIM('01_Raw_Data'!G137))</f>
        <v/>
      </c>
      <c r="H137">
        <f>PROPER(TRIM('01_Raw_Data'!H137))</f>
        <v/>
      </c>
      <c r="I137">
        <f>'01_Raw_Data'!I137</f>
        <v/>
      </c>
      <c r="J137" s="9">
        <f>'01_Raw_Data'!J137</f>
        <v/>
      </c>
      <c r="K137" s="9">
        <f>IFERROR(I137*J137,0)</f>
        <v/>
      </c>
      <c r="L137">
        <f>YEAR(B137)</f>
        <v/>
      </c>
      <c r="M137">
        <f>TEXT(B137,"mmm")</f>
        <v/>
      </c>
      <c r="N137">
        <f>PROPER(TRIM(E137))</f>
        <v/>
      </c>
      <c r="O137">
        <f>PROPER(TRIM(C137))</f>
        <v/>
      </c>
      <c r="P137" s="9">
        <f>K137*IFERROR(XLOOKUP(D137,'03_Lookups'!$E$5:$E$6,'03_Lookups'!$F$5:$F$6),0)</f>
        <v/>
      </c>
      <c r="Q137" s="10">
        <f>IFERROR(P137/K137,0)</f>
        <v/>
      </c>
      <c r="R137">
        <f>IFS(K137&gt;=50000,"High",K137&gt;=20000,"Medium",TRUE,"Low")</f>
        <v/>
      </c>
    </row>
    <row r="138">
      <c r="A138">
        <f>'01_Raw_Data'!A138</f>
        <v/>
      </c>
      <c r="B138" s="8">
        <f>'01_Raw_Data'!B138</f>
        <v/>
      </c>
      <c r="C138">
        <f>PROPER(TRIM('01_Raw_Data'!C138))</f>
        <v/>
      </c>
      <c r="D138">
        <f>PROPER(TRIM('01_Raw_Data'!D138))</f>
        <v/>
      </c>
      <c r="E138">
        <f>PROPER(TRIM('01_Raw_Data'!E138))</f>
        <v/>
      </c>
      <c r="F138">
        <f>PROPER(TRIM('01_Raw_Data'!F138))</f>
        <v/>
      </c>
      <c r="G138">
        <f>PROPER(TRIM('01_Raw_Data'!G138))</f>
        <v/>
      </c>
      <c r="H138">
        <f>PROPER(TRIM('01_Raw_Data'!H138))</f>
        <v/>
      </c>
      <c r="I138">
        <f>'01_Raw_Data'!I138</f>
        <v/>
      </c>
      <c r="J138" s="9">
        <f>'01_Raw_Data'!J138</f>
        <v/>
      </c>
      <c r="K138" s="9">
        <f>IFERROR(I138*J138,0)</f>
        <v/>
      </c>
      <c r="L138">
        <f>YEAR(B138)</f>
        <v/>
      </c>
      <c r="M138">
        <f>TEXT(B138,"mmm")</f>
        <v/>
      </c>
      <c r="N138">
        <f>PROPER(TRIM(E138))</f>
        <v/>
      </c>
      <c r="O138">
        <f>PROPER(TRIM(C138))</f>
        <v/>
      </c>
      <c r="P138" s="9">
        <f>K138*IFERROR(XLOOKUP(D138,'03_Lookups'!$E$5:$E$6,'03_Lookups'!$F$5:$F$6),0)</f>
        <v/>
      </c>
      <c r="Q138" s="10">
        <f>IFERROR(P138/K138,0)</f>
        <v/>
      </c>
      <c r="R138">
        <f>IFS(K138&gt;=50000,"High",K138&gt;=20000,"Medium",TRUE,"Low")</f>
        <v/>
      </c>
    </row>
    <row r="139">
      <c r="A139">
        <f>'01_Raw_Data'!A139</f>
        <v/>
      </c>
      <c r="B139" s="8">
        <f>'01_Raw_Data'!B139</f>
        <v/>
      </c>
      <c r="C139">
        <f>PROPER(TRIM('01_Raw_Data'!C139))</f>
        <v/>
      </c>
      <c r="D139">
        <f>PROPER(TRIM('01_Raw_Data'!D139))</f>
        <v/>
      </c>
      <c r="E139">
        <f>PROPER(TRIM('01_Raw_Data'!E139))</f>
        <v/>
      </c>
      <c r="F139">
        <f>PROPER(TRIM('01_Raw_Data'!F139))</f>
        <v/>
      </c>
      <c r="G139">
        <f>PROPER(TRIM('01_Raw_Data'!G139))</f>
        <v/>
      </c>
      <c r="H139">
        <f>PROPER(TRIM('01_Raw_Data'!H139))</f>
        <v/>
      </c>
      <c r="I139">
        <f>'01_Raw_Data'!I139</f>
        <v/>
      </c>
      <c r="J139" s="9">
        <f>'01_Raw_Data'!J139</f>
        <v/>
      </c>
      <c r="K139" s="9">
        <f>IFERROR(I139*J139,0)</f>
        <v/>
      </c>
      <c r="L139">
        <f>YEAR(B139)</f>
        <v/>
      </c>
      <c r="M139">
        <f>TEXT(B139,"mmm")</f>
        <v/>
      </c>
      <c r="N139">
        <f>PROPER(TRIM(E139))</f>
        <v/>
      </c>
      <c r="O139">
        <f>PROPER(TRIM(C139))</f>
        <v/>
      </c>
      <c r="P139" s="9">
        <f>K139*IFERROR(XLOOKUP(D139,'03_Lookups'!$E$5:$E$6,'03_Lookups'!$F$5:$F$6),0)</f>
        <v/>
      </c>
      <c r="Q139" s="10">
        <f>IFERROR(P139/K139,0)</f>
        <v/>
      </c>
      <c r="R139">
        <f>IFS(K139&gt;=50000,"High",K139&gt;=20000,"Medium",TRUE,"Low")</f>
        <v/>
      </c>
    </row>
    <row r="140">
      <c r="A140">
        <f>'01_Raw_Data'!A140</f>
        <v/>
      </c>
      <c r="B140" s="8">
        <f>'01_Raw_Data'!B140</f>
        <v/>
      </c>
      <c r="C140">
        <f>PROPER(TRIM('01_Raw_Data'!C140))</f>
        <v/>
      </c>
      <c r="D140">
        <f>PROPER(TRIM('01_Raw_Data'!D140))</f>
        <v/>
      </c>
      <c r="E140">
        <f>PROPER(TRIM('01_Raw_Data'!E140))</f>
        <v/>
      </c>
      <c r="F140">
        <f>PROPER(TRIM('01_Raw_Data'!F140))</f>
        <v/>
      </c>
      <c r="G140">
        <f>PROPER(TRIM('01_Raw_Data'!G140))</f>
        <v/>
      </c>
      <c r="H140">
        <f>PROPER(TRIM('01_Raw_Data'!H140))</f>
        <v/>
      </c>
      <c r="I140">
        <f>'01_Raw_Data'!I140</f>
        <v/>
      </c>
      <c r="J140" s="9">
        <f>'01_Raw_Data'!J140</f>
        <v/>
      </c>
      <c r="K140" s="9">
        <f>IFERROR(I140*J140,0)</f>
        <v/>
      </c>
      <c r="L140">
        <f>YEAR(B140)</f>
        <v/>
      </c>
      <c r="M140">
        <f>TEXT(B140,"mmm")</f>
        <v/>
      </c>
      <c r="N140">
        <f>PROPER(TRIM(E140))</f>
        <v/>
      </c>
      <c r="O140">
        <f>PROPER(TRIM(C140))</f>
        <v/>
      </c>
      <c r="P140" s="9">
        <f>K140*IFERROR(XLOOKUP(D140,'03_Lookups'!$E$5:$E$6,'03_Lookups'!$F$5:$F$6),0)</f>
        <v/>
      </c>
      <c r="Q140" s="10">
        <f>IFERROR(P140/K140,0)</f>
        <v/>
      </c>
      <c r="R140">
        <f>IFS(K140&gt;=50000,"High",K140&gt;=20000,"Medium",TRUE,"Low")</f>
        <v/>
      </c>
    </row>
    <row r="141">
      <c r="A141">
        <f>'01_Raw_Data'!A141</f>
        <v/>
      </c>
      <c r="B141" s="8">
        <f>'01_Raw_Data'!B141</f>
        <v/>
      </c>
      <c r="C141">
        <f>PROPER(TRIM('01_Raw_Data'!C141))</f>
        <v/>
      </c>
      <c r="D141">
        <f>PROPER(TRIM('01_Raw_Data'!D141))</f>
        <v/>
      </c>
      <c r="E141">
        <f>PROPER(TRIM('01_Raw_Data'!E141))</f>
        <v/>
      </c>
      <c r="F141">
        <f>PROPER(TRIM('01_Raw_Data'!F141))</f>
        <v/>
      </c>
      <c r="G141">
        <f>PROPER(TRIM('01_Raw_Data'!G141))</f>
        <v/>
      </c>
      <c r="H141">
        <f>PROPER(TRIM('01_Raw_Data'!H141))</f>
        <v/>
      </c>
      <c r="I141">
        <f>'01_Raw_Data'!I141</f>
        <v/>
      </c>
      <c r="J141" s="9">
        <f>'01_Raw_Data'!J141</f>
        <v/>
      </c>
      <c r="K141" s="9">
        <f>IFERROR(I141*J141,0)</f>
        <v/>
      </c>
      <c r="L141">
        <f>YEAR(B141)</f>
        <v/>
      </c>
      <c r="M141">
        <f>TEXT(B141,"mmm")</f>
        <v/>
      </c>
      <c r="N141">
        <f>PROPER(TRIM(E141))</f>
        <v/>
      </c>
      <c r="O141">
        <f>PROPER(TRIM(C141))</f>
        <v/>
      </c>
      <c r="P141" s="9">
        <f>K141*IFERROR(XLOOKUP(D141,'03_Lookups'!$E$5:$E$6,'03_Lookups'!$F$5:$F$6),0)</f>
        <v/>
      </c>
      <c r="Q141" s="10">
        <f>IFERROR(P141/K141,0)</f>
        <v/>
      </c>
      <c r="R141">
        <f>IFS(K141&gt;=50000,"High",K141&gt;=20000,"Medium",TRUE,"Low")</f>
        <v/>
      </c>
    </row>
    <row r="142">
      <c r="A142">
        <f>'01_Raw_Data'!A142</f>
        <v/>
      </c>
      <c r="B142" s="8">
        <f>'01_Raw_Data'!B142</f>
        <v/>
      </c>
      <c r="C142">
        <f>PROPER(TRIM('01_Raw_Data'!C142))</f>
        <v/>
      </c>
      <c r="D142">
        <f>PROPER(TRIM('01_Raw_Data'!D142))</f>
        <v/>
      </c>
      <c r="E142">
        <f>PROPER(TRIM('01_Raw_Data'!E142))</f>
        <v/>
      </c>
      <c r="F142">
        <f>PROPER(TRIM('01_Raw_Data'!F142))</f>
        <v/>
      </c>
      <c r="G142">
        <f>PROPER(TRIM('01_Raw_Data'!G142))</f>
        <v/>
      </c>
      <c r="H142">
        <f>PROPER(TRIM('01_Raw_Data'!H142))</f>
        <v/>
      </c>
      <c r="I142">
        <f>'01_Raw_Data'!I142</f>
        <v/>
      </c>
      <c r="J142" s="9">
        <f>'01_Raw_Data'!J142</f>
        <v/>
      </c>
      <c r="K142" s="9">
        <f>IFERROR(I142*J142,0)</f>
        <v/>
      </c>
      <c r="L142">
        <f>YEAR(B142)</f>
        <v/>
      </c>
      <c r="M142">
        <f>TEXT(B142,"mmm")</f>
        <v/>
      </c>
      <c r="N142">
        <f>PROPER(TRIM(E142))</f>
        <v/>
      </c>
      <c r="O142">
        <f>PROPER(TRIM(C142))</f>
        <v/>
      </c>
      <c r="P142" s="9">
        <f>K142*IFERROR(XLOOKUP(D142,'03_Lookups'!$E$5:$E$6,'03_Lookups'!$F$5:$F$6),0)</f>
        <v/>
      </c>
      <c r="Q142" s="10">
        <f>IFERROR(P142/K142,0)</f>
        <v/>
      </c>
      <c r="R142">
        <f>IFS(K142&gt;=50000,"High",K142&gt;=20000,"Medium",TRUE,"Low")</f>
        <v/>
      </c>
    </row>
    <row r="143">
      <c r="A143">
        <f>'01_Raw_Data'!A143</f>
        <v/>
      </c>
      <c r="B143" s="8">
        <f>'01_Raw_Data'!B143</f>
        <v/>
      </c>
      <c r="C143">
        <f>PROPER(TRIM('01_Raw_Data'!C143))</f>
        <v/>
      </c>
      <c r="D143">
        <f>PROPER(TRIM('01_Raw_Data'!D143))</f>
        <v/>
      </c>
      <c r="E143">
        <f>PROPER(TRIM('01_Raw_Data'!E143))</f>
        <v/>
      </c>
      <c r="F143">
        <f>PROPER(TRIM('01_Raw_Data'!F143))</f>
        <v/>
      </c>
      <c r="G143">
        <f>PROPER(TRIM('01_Raw_Data'!G143))</f>
        <v/>
      </c>
      <c r="H143">
        <f>PROPER(TRIM('01_Raw_Data'!H143))</f>
        <v/>
      </c>
      <c r="I143">
        <f>'01_Raw_Data'!I143</f>
        <v/>
      </c>
      <c r="J143" s="9">
        <f>'01_Raw_Data'!J143</f>
        <v/>
      </c>
      <c r="K143" s="9">
        <f>IFERROR(I143*J143,0)</f>
        <v/>
      </c>
      <c r="L143">
        <f>YEAR(B143)</f>
        <v/>
      </c>
      <c r="M143">
        <f>TEXT(B143,"mmm")</f>
        <v/>
      </c>
      <c r="N143">
        <f>PROPER(TRIM(E143))</f>
        <v/>
      </c>
      <c r="O143">
        <f>PROPER(TRIM(C143))</f>
        <v/>
      </c>
      <c r="P143" s="9">
        <f>K143*IFERROR(XLOOKUP(D143,'03_Lookups'!$E$5:$E$6,'03_Lookups'!$F$5:$F$6),0)</f>
        <v/>
      </c>
      <c r="Q143" s="10">
        <f>IFERROR(P143/K143,0)</f>
        <v/>
      </c>
      <c r="R143">
        <f>IFS(K143&gt;=50000,"High",K143&gt;=20000,"Medium",TRUE,"Low")</f>
        <v/>
      </c>
    </row>
    <row r="144">
      <c r="A144">
        <f>'01_Raw_Data'!A144</f>
        <v/>
      </c>
      <c r="B144" s="8">
        <f>'01_Raw_Data'!B144</f>
        <v/>
      </c>
      <c r="C144">
        <f>PROPER(TRIM('01_Raw_Data'!C144))</f>
        <v/>
      </c>
      <c r="D144">
        <f>PROPER(TRIM('01_Raw_Data'!D144))</f>
        <v/>
      </c>
      <c r="E144">
        <f>PROPER(TRIM('01_Raw_Data'!E144))</f>
        <v/>
      </c>
      <c r="F144">
        <f>PROPER(TRIM('01_Raw_Data'!F144))</f>
        <v/>
      </c>
      <c r="G144">
        <f>PROPER(TRIM('01_Raw_Data'!G144))</f>
        <v/>
      </c>
      <c r="H144">
        <f>PROPER(TRIM('01_Raw_Data'!H144))</f>
        <v/>
      </c>
      <c r="I144">
        <f>'01_Raw_Data'!I144</f>
        <v/>
      </c>
      <c r="J144" s="9">
        <f>'01_Raw_Data'!J144</f>
        <v/>
      </c>
      <c r="K144" s="9">
        <f>IFERROR(I144*J144,0)</f>
        <v/>
      </c>
      <c r="L144">
        <f>YEAR(B144)</f>
        <v/>
      </c>
      <c r="M144">
        <f>TEXT(B144,"mmm")</f>
        <v/>
      </c>
      <c r="N144">
        <f>PROPER(TRIM(E144))</f>
        <v/>
      </c>
      <c r="O144">
        <f>PROPER(TRIM(C144))</f>
        <v/>
      </c>
      <c r="P144" s="9">
        <f>K144*IFERROR(XLOOKUP(D144,'03_Lookups'!$E$5:$E$6,'03_Lookups'!$F$5:$F$6),0)</f>
        <v/>
      </c>
      <c r="Q144" s="10">
        <f>IFERROR(P144/K144,0)</f>
        <v/>
      </c>
      <c r="R144">
        <f>IFS(K144&gt;=50000,"High",K144&gt;=20000,"Medium",TRUE,"Low")</f>
        <v/>
      </c>
    </row>
    <row r="145">
      <c r="A145">
        <f>'01_Raw_Data'!A145</f>
        <v/>
      </c>
      <c r="B145" s="8">
        <f>'01_Raw_Data'!B145</f>
        <v/>
      </c>
      <c r="C145">
        <f>PROPER(TRIM('01_Raw_Data'!C145))</f>
        <v/>
      </c>
      <c r="D145">
        <f>PROPER(TRIM('01_Raw_Data'!D145))</f>
        <v/>
      </c>
      <c r="E145">
        <f>PROPER(TRIM('01_Raw_Data'!E145))</f>
        <v/>
      </c>
      <c r="F145">
        <f>PROPER(TRIM('01_Raw_Data'!F145))</f>
        <v/>
      </c>
      <c r="G145">
        <f>PROPER(TRIM('01_Raw_Data'!G145))</f>
        <v/>
      </c>
      <c r="H145">
        <f>PROPER(TRIM('01_Raw_Data'!H145))</f>
        <v/>
      </c>
      <c r="I145">
        <f>'01_Raw_Data'!I145</f>
        <v/>
      </c>
      <c r="J145" s="9">
        <f>'01_Raw_Data'!J145</f>
        <v/>
      </c>
      <c r="K145" s="9">
        <f>IFERROR(I145*J145,0)</f>
        <v/>
      </c>
      <c r="L145">
        <f>YEAR(B145)</f>
        <v/>
      </c>
      <c r="M145">
        <f>TEXT(B145,"mmm")</f>
        <v/>
      </c>
      <c r="N145">
        <f>PROPER(TRIM(E145))</f>
        <v/>
      </c>
      <c r="O145">
        <f>PROPER(TRIM(C145))</f>
        <v/>
      </c>
      <c r="P145" s="9">
        <f>K145*IFERROR(XLOOKUP(D145,'03_Lookups'!$E$5:$E$6,'03_Lookups'!$F$5:$F$6),0)</f>
        <v/>
      </c>
      <c r="Q145" s="10">
        <f>IFERROR(P145/K145,0)</f>
        <v/>
      </c>
      <c r="R145">
        <f>IFS(K145&gt;=50000,"High",K145&gt;=20000,"Medium",TRUE,"Low")</f>
        <v/>
      </c>
    </row>
    <row r="146">
      <c r="A146">
        <f>'01_Raw_Data'!A146</f>
        <v/>
      </c>
      <c r="B146" s="8">
        <f>'01_Raw_Data'!B146</f>
        <v/>
      </c>
      <c r="C146">
        <f>PROPER(TRIM('01_Raw_Data'!C146))</f>
        <v/>
      </c>
      <c r="D146">
        <f>PROPER(TRIM('01_Raw_Data'!D146))</f>
        <v/>
      </c>
      <c r="E146">
        <f>PROPER(TRIM('01_Raw_Data'!E146))</f>
        <v/>
      </c>
      <c r="F146">
        <f>PROPER(TRIM('01_Raw_Data'!F146))</f>
        <v/>
      </c>
      <c r="G146">
        <f>PROPER(TRIM('01_Raw_Data'!G146))</f>
        <v/>
      </c>
      <c r="H146">
        <f>PROPER(TRIM('01_Raw_Data'!H146))</f>
        <v/>
      </c>
      <c r="I146">
        <f>'01_Raw_Data'!I146</f>
        <v/>
      </c>
      <c r="J146" s="9">
        <f>'01_Raw_Data'!J146</f>
        <v/>
      </c>
      <c r="K146" s="9">
        <f>IFERROR(I146*J146,0)</f>
        <v/>
      </c>
      <c r="L146">
        <f>YEAR(B146)</f>
        <v/>
      </c>
      <c r="M146">
        <f>TEXT(B146,"mmm")</f>
        <v/>
      </c>
      <c r="N146">
        <f>PROPER(TRIM(E146))</f>
        <v/>
      </c>
      <c r="O146">
        <f>PROPER(TRIM(C146))</f>
        <v/>
      </c>
      <c r="P146" s="9">
        <f>K146*IFERROR(XLOOKUP(D146,'03_Lookups'!$E$5:$E$6,'03_Lookups'!$F$5:$F$6),0)</f>
        <v/>
      </c>
      <c r="Q146" s="10">
        <f>IFERROR(P146/K146,0)</f>
        <v/>
      </c>
      <c r="R146">
        <f>IFS(K146&gt;=50000,"High",K146&gt;=20000,"Medium",TRUE,"Low")</f>
        <v/>
      </c>
    </row>
    <row r="147">
      <c r="A147">
        <f>'01_Raw_Data'!A147</f>
        <v/>
      </c>
      <c r="B147" s="8">
        <f>'01_Raw_Data'!B147</f>
        <v/>
      </c>
      <c r="C147">
        <f>PROPER(TRIM('01_Raw_Data'!C147))</f>
        <v/>
      </c>
      <c r="D147">
        <f>PROPER(TRIM('01_Raw_Data'!D147))</f>
        <v/>
      </c>
      <c r="E147">
        <f>PROPER(TRIM('01_Raw_Data'!E147))</f>
        <v/>
      </c>
      <c r="F147">
        <f>PROPER(TRIM('01_Raw_Data'!F147))</f>
        <v/>
      </c>
      <c r="G147">
        <f>PROPER(TRIM('01_Raw_Data'!G147))</f>
        <v/>
      </c>
      <c r="H147">
        <f>PROPER(TRIM('01_Raw_Data'!H147))</f>
        <v/>
      </c>
      <c r="I147">
        <f>'01_Raw_Data'!I147</f>
        <v/>
      </c>
      <c r="J147" s="9">
        <f>'01_Raw_Data'!J147</f>
        <v/>
      </c>
      <c r="K147" s="9">
        <f>IFERROR(I147*J147,0)</f>
        <v/>
      </c>
      <c r="L147">
        <f>YEAR(B147)</f>
        <v/>
      </c>
      <c r="M147">
        <f>TEXT(B147,"mmm")</f>
        <v/>
      </c>
      <c r="N147">
        <f>PROPER(TRIM(E147))</f>
        <v/>
      </c>
      <c r="O147">
        <f>PROPER(TRIM(C147))</f>
        <v/>
      </c>
      <c r="P147" s="9">
        <f>K147*IFERROR(XLOOKUP(D147,'03_Lookups'!$E$5:$E$6,'03_Lookups'!$F$5:$F$6),0)</f>
        <v/>
      </c>
      <c r="Q147" s="10">
        <f>IFERROR(P147/K147,0)</f>
        <v/>
      </c>
      <c r="R147">
        <f>IFS(K147&gt;=50000,"High",K147&gt;=20000,"Medium",TRUE,"Low")</f>
        <v/>
      </c>
    </row>
    <row r="148">
      <c r="A148">
        <f>'01_Raw_Data'!A148</f>
        <v/>
      </c>
      <c r="B148" s="8">
        <f>'01_Raw_Data'!B148</f>
        <v/>
      </c>
      <c r="C148">
        <f>PROPER(TRIM('01_Raw_Data'!C148))</f>
        <v/>
      </c>
      <c r="D148">
        <f>PROPER(TRIM('01_Raw_Data'!D148))</f>
        <v/>
      </c>
      <c r="E148">
        <f>PROPER(TRIM('01_Raw_Data'!E148))</f>
        <v/>
      </c>
      <c r="F148">
        <f>PROPER(TRIM('01_Raw_Data'!F148))</f>
        <v/>
      </c>
      <c r="G148">
        <f>PROPER(TRIM('01_Raw_Data'!G148))</f>
        <v/>
      </c>
      <c r="H148">
        <f>PROPER(TRIM('01_Raw_Data'!H148))</f>
        <v/>
      </c>
      <c r="I148">
        <f>'01_Raw_Data'!I148</f>
        <v/>
      </c>
      <c r="J148" s="9">
        <f>'01_Raw_Data'!J148</f>
        <v/>
      </c>
      <c r="K148" s="9">
        <f>IFERROR(I148*J148,0)</f>
        <v/>
      </c>
      <c r="L148">
        <f>YEAR(B148)</f>
        <v/>
      </c>
      <c r="M148">
        <f>TEXT(B148,"mmm")</f>
        <v/>
      </c>
      <c r="N148">
        <f>PROPER(TRIM(E148))</f>
        <v/>
      </c>
      <c r="O148">
        <f>PROPER(TRIM(C148))</f>
        <v/>
      </c>
      <c r="P148" s="9">
        <f>K148*IFERROR(XLOOKUP(D148,'03_Lookups'!$E$5:$E$6,'03_Lookups'!$F$5:$F$6),0)</f>
        <v/>
      </c>
      <c r="Q148" s="10">
        <f>IFERROR(P148/K148,0)</f>
        <v/>
      </c>
      <c r="R148">
        <f>IFS(K148&gt;=50000,"High",K148&gt;=20000,"Medium",TRUE,"Low")</f>
        <v/>
      </c>
    </row>
    <row r="149">
      <c r="A149">
        <f>'01_Raw_Data'!A149</f>
        <v/>
      </c>
      <c r="B149" s="8">
        <f>'01_Raw_Data'!B149</f>
        <v/>
      </c>
      <c r="C149">
        <f>PROPER(TRIM('01_Raw_Data'!C149))</f>
        <v/>
      </c>
      <c r="D149">
        <f>PROPER(TRIM('01_Raw_Data'!D149))</f>
        <v/>
      </c>
      <c r="E149">
        <f>PROPER(TRIM('01_Raw_Data'!E149))</f>
        <v/>
      </c>
      <c r="F149">
        <f>PROPER(TRIM('01_Raw_Data'!F149))</f>
        <v/>
      </c>
      <c r="G149">
        <f>PROPER(TRIM('01_Raw_Data'!G149))</f>
        <v/>
      </c>
      <c r="H149">
        <f>PROPER(TRIM('01_Raw_Data'!H149))</f>
        <v/>
      </c>
      <c r="I149">
        <f>'01_Raw_Data'!I149</f>
        <v/>
      </c>
      <c r="J149" s="9">
        <f>'01_Raw_Data'!J149</f>
        <v/>
      </c>
      <c r="K149" s="9">
        <f>IFERROR(I149*J149,0)</f>
        <v/>
      </c>
      <c r="L149">
        <f>YEAR(B149)</f>
        <v/>
      </c>
      <c r="M149">
        <f>TEXT(B149,"mmm")</f>
        <v/>
      </c>
      <c r="N149">
        <f>PROPER(TRIM(E149))</f>
        <v/>
      </c>
      <c r="O149">
        <f>PROPER(TRIM(C149))</f>
        <v/>
      </c>
      <c r="P149" s="9">
        <f>K149*IFERROR(XLOOKUP(D149,'03_Lookups'!$E$5:$E$6,'03_Lookups'!$F$5:$F$6),0)</f>
        <v/>
      </c>
      <c r="Q149" s="10">
        <f>IFERROR(P149/K149,0)</f>
        <v/>
      </c>
      <c r="R149">
        <f>IFS(K149&gt;=50000,"High",K149&gt;=20000,"Medium",TRUE,"Low")</f>
        <v/>
      </c>
    </row>
    <row r="150">
      <c r="A150">
        <f>'01_Raw_Data'!A150</f>
        <v/>
      </c>
      <c r="B150" s="8">
        <f>'01_Raw_Data'!B150</f>
        <v/>
      </c>
      <c r="C150">
        <f>PROPER(TRIM('01_Raw_Data'!C150))</f>
        <v/>
      </c>
      <c r="D150">
        <f>PROPER(TRIM('01_Raw_Data'!D150))</f>
        <v/>
      </c>
      <c r="E150">
        <f>PROPER(TRIM('01_Raw_Data'!E150))</f>
        <v/>
      </c>
      <c r="F150">
        <f>PROPER(TRIM('01_Raw_Data'!F150))</f>
        <v/>
      </c>
      <c r="G150">
        <f>PROPER(TRIM('01_Raw_Data'!G150))</f>
        <v/>
      </c>
      <c r="H150">
        <f>PROPER(TRIM('01_Raw_Data'!H150))</f>
        <v/>
      </c>
      <c r="I150">
        <f>'01_Raw_Data'!I150</f>
        <v/>
      </c>
      <c r="J150" s="9">
        <f>'01_Raw_Data'!J150</f>
        <v/>
      </c>
      <c r="K150" s="9">
        <f>IFERROR(I150*J150,0)</f>
        <v/>
      </c>
      <c r="L150">
        <f>YEAR(B150)</f>
        <v/>
      </c>
      <c r="M150">
        <f>TEXT(B150,"mmm")</f>
        <v/>
      </c>
      <c r="N150">
        <f>PROPER(TRIM(E150))</f>
        <v/>
      </c>
      <c r="O150">
        <f>PROPER(TRIM(C150))</f>
        <v/>
      </c>
      <c r="P150" s="9">
        <f>K150*IFERROR(XLOOKUP(D150,'03_Lookups'!$E$5:$E$6,'03_Lookups'!$F$5:$F$6),0)</f>
        <v/>
      </c>
      <c r="Q150" s="10">
        <f>IFERROR(P150/K150,0)</f>
        <v/>
      </c>
      <c r="R150">
        <f>IFS(K150&gt;=50000,"High",K150&gt;=20000,"Medium",TRUE,"Low")</f>
        <v/>
      </c>
    </row>
    <row r="151">
      <c r="A151">
        <f>'01_Raw_Data'!A151</f>
        <v/>
      </c>
      <c r="B151" s="8">
        <f>'01_Raw_Data'!B151</f>
        <v/>
      </c>
      <c r="C151">
        <f>PROPER(TRIM('01_Raw_Data'!C151))</f>
        <v/>
      </c>
      <c r="D151">
        <f>PROPER(TRIM('01_Raw_Data'!D151))</f>
        <v/>
      </c>
      <c r="E151">
        <f>PROPER(TRIM('01_Raw_Data'!E151))</f>
        <v/>
      </c>
      <c r="F151">
        <f>PROPER(TRIM('01_Raw_Data'!F151))</f>
        <v/>
      </c>
      <c r="G151">
        <f>PROPER(TRIM('01_Raw_Data'!G151))</f>
        <v/>
      </c>
      <c r="H151">
        <f>PROPER(TRIM('01_Raw_Data'!H151))</f>
        <v/>
      </c>
      <c r="I151">
        <f>'01_Raw_Data'!I151</f>
        <v/>
      </c>
      <c r="J151" s="9">
        <f>'01_Raw_Data'!J151</f>
        <v/>
      </c>
      <c r="K151" s="9">
        <f>IFERROR(I151*J151,0)</f>
        <v/>
      </c>
      <c r="L151">
        <f>YEAR(B151)</f>
        <v/>
      </c>
      <c r="M151">
        <f>TEXT(B151,"mmm")</f>
        <v/>
      </c>
      <c r="N151">
        <f>PROPER(TRIM(E151))</f>
        <v/>
      </c>
      <c r="O151">
        <f>PROPER(TRIM(C151))</f>
        <v/>
      </c>
      <c r="P151" s="9">
        <f>K151*IFERROR(XLOOKUP(D151,'03_Lookups'!$E$5:$E$6,'03_Lookups'!$F$5:$F$6),0)</f>
        <v/>
      </c>
      <c r="Q151" s="10">
        <f>IFERROR(P151/K151,0)</f>
        <v/>
      </c>
      <c r="R151">
        <f>IFS(K151&gt;=50000,"High",K151&gt;=20000,"Medium",TRUE,"Low")</f>
        <v/>
      </c>
    </row>
    <row r="152">
      <c r="A152">
        <f>'01_Raw_Data'!A152</f>
        <v/>
      </c>
      <c r="B152" s="8">
        <f>'01_Raw_Data'!B152</f>
        <v/>
      </c>
      <c r="C152">
        <f>PROPER(TRIM('01_Raw_Data'!C152))</f>
        <v/>
      </c>
      <c r="D152">
        <f>PROPER(TRIM('01_Raw_Data'!D152))</f>
        <v/>
      </c>
      <c r="E152">
        <f>PROPER(TRIM('01_Raw_Data'!E152))</f>
        <v/>
      </c>
      <c r="F152">
        <f>PROPER(TRIM('01_Raw_Data'!F152))</f>
        <v/>
      </c>
      <c r="G152">
        <f>PROPER(TRIM('01_Raw_Data'!G152))</f>
        <v/>
      </c>
      <c r="H152">
        <f>PROPER(TRIM('01_Raw_Data'!H152))</f>
        <v/>
      </c>
      <c r="I152">
        <f>'01_Raw_Data'!I152</f>
        <v/>
      </c>
      <c r="J152" s="9">
        <f>'01_Raw_Data'!J152</f>
        <v/>
      </c>
      <c r="K152" s="9">
        <f>IFERROR(I152*J152,0)</f>
        <v/>
      </c>
      <c r="L152">
        <f>YEAR(B152)</f>
        <v/>
      </c>
      <c r="M152">
        <f>TEXT(B152,"mmm")</f>
        <v/>
      </c>
      <c r="N152">
        <f>PROPER(TRIM(E152))</f>
        <v/>
      </c>
      <c r="O152">
        <f>PROPER(TRIM(C152))</f>
        <v/>
      </c>
      <c r="P152" s="9">
        <f>K152*IFERROR(XLOOKUP(D152,'03_Lookups'!$E$5:$E$6,'03_Lookups'!$F$5:$F$6),0)</f>
        <v/>
      </c>
      <c r="Q152" s="10">
        <f>IFERROR(P152/K152,0)</f>
        <v/>
      </c>
      <c r="R152">
        <f>IFS(K152&gt;=50000,"High",K152&gt;=20000,"Medium",TRUE,"Low")</f>
        <v/>
      </c>
    </row>
    <row r="153">
      <c r="A153">
        <f>'01_Raw_Data'!A153</f>
        <v/>
      </c>
      <c r="B153" s="8">
        <f>'01_Raw_Data'!B153</f>
        <v/>
      </c>
      <c r="C153">
        <f>PROPER(TRIM('01_Raw_Data'!C153))</f>
        <v/>
      </c>
      <c r="D153">
        <f>PROPER(TRIM('01_Raw_Data'!D153))</f>
        <v/>
      </c>
      <c r="E153">
        <f>PROPER(TRIM('01_Raw_Data'!E153))</f>
        <v/>
      </c>
      <c r="F153">
        <f>PROPER(TRIM('01_Raw_Data'!F153))</f>
        <v/>
      </c>
      <c r="G153">
        <f>PROPER(TRIM('01_Raw_Data'!G153))</f>
        <v/>
      </c>
      <c r="H153">
        <f>PROPER(TRIM('01_Raw_Data'!H153))</f>
        <v/>
      </c>
      <c r="I153">
        <f>'01_Raw_Data'!I153</f>
        <v/>
      </c>
      <c r="J153" s="9">
        <f>'01_Raw_Data'!J153</f>
        <v/>
      </c>
      <c r="K153" s="9">
        <f>IFERROR(I153*J153,0)</f>
        <v/>
      </c>
      <c r="L153">
        <f>YEAR(B153)</f>
        <v/>
      </c>
      <c r="M153">
        <f>TEXT(B153,"mmm")</f>
        <v/>
      </c>
      <c r="N153">
        <f>PROPER(TRIM(E153))</f>
        <v/>
      </c>
      <c r="O153">
        <f>PROPER(TRIM(C153))</f>
        <v/>
      </c>
      <c r="P153" s="9">
        <f>K153*IFERROR(XLOOKUP(D153,'03_Lookups'!$E$5:$E$6,'03_Lookups'!$F$5:$F$6),0)</f>
        <v/>
      </c>
      <c r="Q153" s="10">
        <f>IFERROR(P153/K153,0)</f>
        <v/>
      </c>
      <c r="R153">
        <f>IFS(K153&gt;=50000,"High",K153&gt;=20000,"Medium",TRUE,"Low")</f>
        <v/>
      </c>
    </row>
    <row r="154">
      <c r="A154">
        <f>'01_Raw_Data'!A154</f>
        <v/>
      </c>
      <c r="B154" s="8">
        <f>'01_Raw_Data'!B154</f>
        <v/>
      </c>
      <c r="C154">
        <f>PROPER(TRIM('01_Raw_Data'!C154))</f>
        <v/>
      </c>
      <c r="D154">
        <f>PROPER(TRIM('01_Raw_Data'!D154))</f>
        <v/>
      </c>
      <c r="E154">
        <f>PROPER(TRIM('01_Raw_Data'!E154))</f>
        <v/>
      </c>
      <c r="F154">
        <f>PROPER(TRIM('01_Raw_Data'!F154))</f>
        <v/>
      </c>
      <c r="G154">
        <f>PROPER(TRIM('01_Raw_Data'!G154))</f>
        <v/>
      </c>
      <c r="H154">
        <f>PROPER(TRIM('01_Raw_Data'!H154))</f>
        <v/>
      </c>
      <c r="I154">
        <f>'01_Raw_Data'!I154</f>
        <v/>
      </c>
      <c r="J154" s="9">
        <f>'01_Raw_Data'!J154</f>
        <v/>
      </c>
      <c r="K154" s="9">
        <f>IFERROR(I154*J154,0)</f>
        <v/>
      </c>
      <c r="L154">
        <f>YEAR(B154)</f>
        <v/>
      </c>
      <c r="M154">
        <f>TEXT(B154,"mmm")</f>
        <v/>
      </c>
      <c r="N154">
        <f>PROPER(TRIM(E154))</f>
        <v/>
      </c>
      <c r="O154">
        <f>PROPER(TRIM(C154))</f>
        <v/>
      </c>
      <c r="P154" s="9">
        <f>K154*IFERROR(XLOOKUP(D154,'03_Lookups'!$E$5:$E$6,'03_Lookups'!$F$5:$F$6),0)</f>
        <v/>
      </c>
      <c r="Q154" s="10">
        <f>IFERROR(P154/K154,0)</f>
        <v/>
      </c>
      <c r="R154">
        <f>IFS(K154&gt;=50000,"High",K154&gt;=20000,"Medium",TRUE,"Low")</f>
        <v/>
      </c>
    </row>
    <row r="155">
      <c r="A155">
        <f>'01_Raw_Data'!A155</f>
        <v/>
      </c>
      <c r="B155" s="8">
        <f>'01_Raw_Data'!B155</f>
        <v/>
      </c>
      <c r="C155">
        <f>PROPER(TRIM('01_Raw_Data'!C155))</f>
        <v/>
      </c>
      <c r="D155">
        <f>PROPER(TRIM('01_Raw_Data'!D155))</f>
        <v/>
      </c>
      <c r="E155">
        <f>PROPER(TRIM('01_Raw_Data'!E155))</f>
        <v/>
      </c>
      <c r="F155">
        <f>PROPER(TRIM('01_Raw_Data'!F155))</f>
        <v/>
      </c>
      <c r="G155">
        <f>PROPER(TRIM('01_Raw_Data'!G155))</f>
        <v/>
      </c>
      <c r="H155">
        <f>PROPER(TRIM('01_Raw_Data'!H155))</f>
        <v/>
      </c>
      <c r="I155">
        <f>'01_Raw_Data'!I155</f>
        <v/>
      </c>
      <c r="J155" s="9">
        <f>'01_Raw_Data'!J155</f>
        <v/>
      </c>
      <c r="K155" s="9">
        <f>IFERROR(I155*J155,0)</f>
        <v/>
      </c>
      <c r="L155">
        <f>YEAR(B155)</f>
        <v/>
      </c>
      <c r="M155">
        <f>TEXT(B155,"mmm")</f>
        <v/>
      </c>
      <c r="N155">
        <f>PROPER(TRIM(E155))</f>
        <v/>
      </c>
      <c r="O155">
        <f>PROPER(TRIM(C155))</f>
        <v/>
      </c>
      <c r="P155" s="9">
        <f>K155*IFERROR(XLOOKUP(D155,'03_Lookups'!$E$5:$E$6,'03_Lookups'!$F$5:$F$6),0)</f>
        <v/>
      </c>
      <c r="Q155" s="10">
        <f>IFERROR(P155/K155,0)</f>
        <v/>
      </c>
      <c r="R155">
        <f>IFS(K155&gt;=50000,"High",K155&gt;=20000,"Medium",TRUE,"Low")</f>
        <v/>
      </c>
    </row>
    <row r="156">
      <c r="A156">
        <f>'01_Raw_Data'!A156</f>
        <v/>
      </c>
      <c r="B156" s="8">
        <f>'01_Raw_Data'!B156</f>
        <v/>
      </c>
      <c r="C156">
        <f>PROPER(TRIM('01_Raw_Data'!C156))</f>
        <v/>
      </c>
      <c r="D156">
        <f>PROPER(TRIM('01_Raw_Data'!D156))</f>
        <v/>
      </c>
      <c r="E156">
        <f>PROPER(TRIM('01_Raw_Data'!E156))</f>
        <v/>
      </c>
      <c r="F156">
        <f>PROPER(TRIM('01_Raw_Data'!F156))</f>
        <v/>
      </c>
      <c r="G156">
        <f>PROPER(TRIM('01_Raw_Data'!G156))</f>
        <v/>
      </c>
      <c r="H156">
        <f>PROPER(TRIM('01_Raw_Data'!H156))</f>
        <v/>
      </c>
      <c r="I156">
        <f>'01_Raw_Data'!I156</f>
        <v/>
      </c>
      <c r="J156" s="9">
        <f>'01_Raw_Data'!J156</f>
        <v/>
      </c>
      <c r="K156" s="9">
        <f>IFERROR(I156*J156,0)</f>
        <v/>
      </c>
      <c r="L156">
        <f>YEAR(B156)</f>
        <v/>
      </c>
      <c r="M156">
        <f>TEXT(B156,"mmm")</f>
        <v/>
      </c>
      <c r="N156">
        <f>PROPER(TRIM(E156))</f>
        <v/>
      </c>
      <c r="O156">
        <f>PROPER(TRIM(C156))</f>
        <v/>
      </c>
      <c r="P156" s="9">
        <f>K156*IFERROR(XLOOKUP(D156,'03_Lookups'!$E$5:$E$6,'03_Lookups'!$F$5:$F$6),0)</f>
        <v/>
      </c>
      <c r="Q156" s="10">
        <f>IFERROR(P156/K156,0)</f>
        <v/>
      </c>
      <c r="R156">
        <f>IFS(K156&gt;=50000,"High",K156&gt;=20000,"Medium",TRUE,"Low")</f>
        <v/>
      </c>
    </row>
    <row r="157">
      <c r="A157">
        <f>'01_Raw_Data'!A157</f>
        <v/>
      </c>
      <c r="B157" s="8">
        <f>'01_Raw_Data'!B157</f>
        <v/>
      </c>
      <c r="C157">
        <f>PROPER(TRIM('01_Raw_Data'!C157))</f>
        <v/>
      </c>
      <c r="D157">
        <f>PROPER(TRIM('01_Raw_Data'!D157))</f>
        <v/>
      </c>
      <c r="E157">
        <f>PROPER(TRIM('01_Raw_Data'!E157))</f>
        <v/>
      </c>
      <c r="F157">
        <f>PROPER(TRIM('01_Raw_Data'!F157))</f>
        <v/>
      </c>
      <c r="G157">
        <f>PROPER(TRIM('01_Raw_Data'!G157))</f>
        <v/>
      </c>
      <c r="H157">
        <f>PROPER(TRIM('01_Raw_Data'!H157))</f>
        <v/>
      </c>
      <c r="I157">
        <f>'01_Raw_Data'!I157</f>
        <v/>
      </c>
      <c r="J157" s="9">
        <f>'01_Raw_Data'!J157</f>
        <v/>
      </c>
      <c r="K157" s="9">
        <f>IFERROR(I157*J157,0)</f>
        <v/>
      </c>
      <c r="L157">
        <f>YEAR(B157)</f>
        <v/>
      </c>
      <c r="M157">
        <f>TEXT(B157,"mmm")</f>
        <v/>
      </c>
      <c r="N157">
        <f>PROPER(TRIM(E157))</f>
        <v/>
      </c>
      <c r="O157">
        <f>PROPER(TRIM(C157))</f>
        <v/>
      </c>
      <c r="P157" s="9">
        <f>K157*IFERROR(XLOOKUP(D157,'03_Lookups'!$E$5:$E$6,'03_Lookups'!$F$5:$F$6),0)</f>
        <v/>
      </c>
      <c r="Q157" s="10">
        <f>IFERROR(P157/K157,0)</f>
        <v/>
      </c>
      <c r="R157">
        <f>IFS(K157&gt;=50000,"High",K157&gt;=20000,"Medium",TRUE,"Low")</f>
        <v/>
      </c>
    </row>
  </sheetData>
  <mergeCells count="2">
    <mergeCell ref="A2:R2"/>
    <mergeCell ref="A1:R1"/>
  </mergeCells>
  <conditionalFormatting sqref="Q5:Q15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Lookup Tables &amp; Reference Data</t>
        </is>
      </c>
    </row>
    <row r="2">
      <c r="A2" s="2" t="inlineStr">
        <is>
          <t>Demonstrates XLOOKUP / INDEX-MATCH style reference tables and controlled input lists.</t>
        </is>
      </c>
    </row>
    <row r="4">
      <c r="A4" s="11" t="inlineStr">
        <is>
          <t>Category</t>
        </is>
      </c>
      <c r="B4" s="11" t="inlineStr">
        <is>
          <t>Margin Assumption</t>
        </is>
      </c>
      <c r="D4" s="11" t="inlineStr">
        <is>
          <t>Product</t>
        </is>
      </c>
      <c r="E4" s="11" t="inlineStr">
        <is>
          <t>Category</t>
        </is>
      </c>
      <c r="F4" s="11" t="inlineStr">
        <is>
          <t>Margin Assumption</t>
        </is>
      </c>
      <c r="H4" s="11" t="inlineStr">
        <is>
          <t>Region List</t>
        </is>
      </c>
    </row>
    <row r="5">
      <c r="A5" t="inlineStr">
        <is>
          <t>Electronics</t>
        </is>
      </c>
      <c r="B5" s="12" t="n">
        <v>0.18</v>
      </c>
      <c r="D5" t="inlineStr">
        <is>
          <t>Laptop</t>
        </is>
      </c>
      <c r="E5" t="inlineStr">
        <is>
          <t>Electronics</t>
        </is>
      </c>
      <c r="F5" s="12" t="n">
        <v>0.18</v>
      </c>
      <c r="H5" t="inlineStr">
        <is>
          <t>North</t>
        </is>
      </c>
    </row>
    <row r="6">
      <c r="A6" t="inlineStr">
        <is>
          <t>Furniture</t>
        </is>
      </c>
      <c r="B6" s="12" t="n">
        <v>0.2</v>
      </c>
      <c r="D6" t="inlineStr">
        <is>
          <t>Smartphone</t>
        </is>
      </c>
      <c r="E6" t="inlineStr">
        <is>
          <t>Electronics</t>
        </is>
      </c>
      <c r="F6" s="12" t="n">
        <v>0.15</v>
      </c>
      <c r="H6" t="inlineStr">
        <is>
          <t>South</t>
        </is>
      </c>
    </row>
    <row r="7">
      <c r="D7" t="inlineStr">
        <is>
          <t>Headphones</t>
        </is>
      </c>
      <c r="E7" t="inlineStr">
        <is>
          <t>Electronics</t>
        </is>
      </c>
      <c r="F7" s="12" t="n">
        <v>0.25</v>
      </c>
      <c r="H7" t="inlineStr">
        <is>
          <t>East</t>
        </is>
      </c>
    </row>
    <row r="8">
      <c r="D8" t="inlineStr">
        <is>
          <t>Monitor</t>
        </is>
      </c>
      <c r="E8" t="inlineStr">
        <is>
          <t>Electronics</t>
        </is>
      </c>
      <c r="F8" s="12" t="n">
        <v>0.2</v>
      </c>
      <c r="H8" t="inlineStr">
        <is>
          <t>West</t>
        </is>
      </c>
    </row>
    <row r="9">
      <c r="A9" s="13" t="inlineStr">
        <is>
          <t>Example XLOOKUP</t>
        </is>
      </c>
      <c r="B9">
        <f>XLOOKUP("Laptop",D5:D12,F5:F12)</f>
        <v/>
      </c>
      <c r="D9" t="inlineStr">
        <is>
          <t>Keyboard</t>
        </is>
      </c>
      <c r="E9" t="inlineStr">
        <is>
          <t>Electronics</t>
        </is>
      </c>
      <c r="F9" s="12" t="n">
        <v>0.28</v>
      </c>
    </row>
    <row r="10">
      <c r="A10" s="13" t="inlineStr">
        <is>
          <t>Example INDEX-MATCH</t>
        </is>
      </c>
      <c r="B10">
        <f>INDEX(E5:E12,MATCH("Desk",D5:D12,0))</f>
        <v/>
      </c>
      <c r="D10" t="inlineStr">
        <is>
          <t>Office Chair</t>
        </is>
      </c>
      <c r="E10" t="inlineStr">
        <is>
          <t>Furniture</t>
        </is>
      </c>
      <c r="F10" s="12" t="n">
        <v>0.22</v>
      </c>
    </row>
    <row r="11">
      <c r="A11" s="13" t="inlineStr">
        <is>
          <t>Example IFERROR</t>
        </is>
      </c>
      <c r="B11">
        <f>IFERROR(XLOOKUP("Unknown",D5:D12,F5:F12),"Not Found")</f>
        <v/>
      </c>
      <c r="D11" t="inlineStr">
        <is>
          <t>Desk</t>
        </is>
      </c>
      <c r="E11" t="inlineStr">
        <is>
          <t>Furniture</t>
        </is>
      </c>
      <c r="F11" s="12" t="n">
        <v>0.2</v>
      </c>
    </row>
    <row r="12">
      <c r="D12" t="inlineStr">
        <is>
          <t>Bookshelf</t>
        </is>
      </c>
      <c r="E12" t="inlineStr">
        <is>
          <t>Furniture</t>
        </is>
      </c>
      <c r="F12" s="12" t="n">
        <v>0.19</v>
      </c>
    </row>
  </sheetData>
  <mergeCells count="2">
    <mergeCell ref="A2:H2"/>
    <mergeCell ref="A1:H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30" customHeight="1">
      <c r="A1" s="1" t="inlineStr">
        <is>
          <t>Formula-Based Business Analysis</t>
        </is>
      </c>
    </row>
    <row r="2">
      <c r="A2" s="2" t="inlineStr">
        <is>
          <t>Interview-ready examples using SUM, AVERAGE, COUNTIF(S), SUMIF(S), AVERAGEIF(S), ranking and dynamic selectors.</t>
        </is>
      </c>
    </row>
    <row r="4">
      <c r="A4" s="3" t="inlineStr">
        <is>
          <t>Metric</t>
        </is>
      </c>
      <c r="B4" s="3" t="inlineStr">
        <is>
          <t>Formula / Result</t>
        </is>
      </c>
    </row>
    <row r="5">
      <c r="A5" s="13" t="inlineStr">
        <is>
          <t>Total Revenue</t>
        </is>
      </c>
      <c r="B5" s="9">
        <f>SUM('02_Clean_Data'!K5:K157)</f>
        <v/>
      </c>
    </row>
    <row r="6">
      <c r="A6" s="13" t="inlineStr">
        <is>
          <t>Average Order Value</t>
        </is>
      </c>
      <c r="B6" s="9">
        <f>AVERAGE('02_Clean_Data'!K5:K157)</f>
        <v/>
      </c>
    </row>
    <row r="7">
      <c r="A7" s="13" t="inlineStr">
        <is>
          <t>Total Orders</t>
        </is>
      </c>
      <c r="B7" s="14">
        <f>COUNTA('02_Clean_Data'!A5:A157)</f>
        <v/>
      </c>
    </row>
    <row r="8">
      <c r="A8" s="13" t="inlineStr">
        <is>
          <t>Electronics Revenue</t>
        </is>
      </c>
      <c r="B8" s="9">
        <f>SUMIF('02_Clean_Data'!D5:D157,"Electronics",'02_Clean_Data'!K5:K157)</f>
        <v/>
      </c>
    </row>
    <row r="9">
      <c r="A9" s="13" t="inlineStr">
        <is>
          <t>Furniture Revenue</t>
        </is>
      </c>
      <c r="B9" s="9">
        <f>SUMIF('02_Clean_Data'!D5:D157,"Furniture",'02_Clean_Data'!K5:K157)</f>
        <v/>
      </c>
    </row>
    <row r="10">
      <c r="A10" s="13" t="inlineStr">
        <is>
          <t>West Revenue</t>
        </is>
      </c>
      <c r="B10" s="9">
        <f>SUMIF('02_Clean_Data'!F5:F157,"West",'02_Clean_Data'!K5:K157)</f>
        <v/>
      </c>
    </row>
    <row r="11">
      <c r="A11" s="13" t="inlineStr">
        <is>
          <t>Online Orders</t>
        </is>
      </c>
      <c r="B11" s="14">
        <f>COUNTIF('02_Clean_Data'!G5:G157,"Online")</f>
        <v/>
      </c>
    </row>
    <row r="12">
      <c r="A12" s="13" t="inlineStr">
        <is>
          <t>Electronics + Online Revenue</t>
        </is>
      </c>
      <c r="B12" s="9">
        <f>SUMIFS('02_Clean_Data'!K5:K157,'02_Clean_Data'!D5:D157,"Electronics",'02_Clean_Data'!G5:G157,"Online")</f>
        <v/>
      </c>
    </row>
    <row r="13">
      <c r="A13" s="13" t="inlineStr">
        <is>
          <t>High Revenue Transactions</t>
        </is>
      </c>
      <c r="B13" s="9">
        <f>COUNTIF('02_Clean_Data'!R5:R157,"High")</f>
        <v/>
      </c>
    </row>
    <row r="14">
      <c r="A14" s="13" t="inlineStr">
        <is>
          <t>Average Electronics Revenue</t>
        </is>
      </c>
      <c r="B14" s="9">
        <f>AVERAGEIF('02_Clean_Data'!D5:D157,"Electronics",'02_Clean_Data'!K5:K157)</f>
        <v/>
      </c>
    </row>
    <row r="17">
      <c r="A17" t="inlineStr">
        <is>
          <t>Key Excel Skills</t>
        </is>
      </c>
    </row>
    <row r="18">
      <c r="A18" t="inlineStr">
        <is>
          <t>SUM / AVERAGE</t>
        </is>
      </c>
      <c r="B18" t="inlineStr">
        <is>
          <t>Used in this workbook</t>
        </is>
      </c>
    </row>
    <row r="19">
      <c r="A19" t="inlineStr">
        <is>
          <t>SUMIF / COUNTIF</t>
        </is>
      </c>
      <c r="B19" t="inlineStr">
        <is>
          <t>Used in this workbook</t>
        </is>
      </c>
    </row>
    <row r="20">
      <c r="A20" t="inlineStr">
        <is>
          <t>SUMIFS / COUNTIFS</t>
        </is>
      </c>
      <c r="B20" t="inlineStr">
        <is>
          <t>Used in this workbook</t>
        </is>
      </c>
    </row>
    <row r="21">
      <c r="A21" t="inlineStr">
        <is>
          <t>AVERAGEIF(S)</t>
        </is>
      </c>
      <c r="B21" t="inlineStr">
        <is>
          <t>Used in this workbook</t>
        </is>
      </c>
    </row>
    <row r="22">
      <c r="A22" t="inlineStr">
        <is>
          <t>IF / IFS / IFERROR</t>
        </is>
      </c>
      <c r="B22" t="inlineStr">
        <is>
          <t>Used in this workbook</t>
        </is>
      </c>
    </row>
    <row r="23">
      <c r="A23" t="inlineStr">
        <is>
          <t>Text cleaning</t>
        </is>
      </c>
      <c r="B23" t="inlineStr">
        <is>
          <t>Used in this workbook</t>
        </is>
      </c>
    </row>
    <row r="24">
      <c r="A24" t="inlineStr">
        <is>
          <t>Date functions</t>
        </is>
      </c>
      <c r="B24" t="inlineStr">
        <is>
          <t>Used in this workbook</t>
        </is>
      </c>
    </row>
    <row r="25">
      <c r="A25" t="inlineStr">
        <is>
          <t>Lookup functions</t>
        </is>
      </c>
      <c r="B25" t="inlineStr">
        <is>
          <t>Used in this workbook</t>
        </is>
      </c>
    </row>
  </sheetData>
  <mergeCells count="2">
    <mergeCell ref="A2:G2"/>
    <mergeCell ref="A1:G1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6" customWidth="1" min="4" max="4"/>
    <col width="10" customWidth="1" min="5" max="5"/>
    <col width="4" customWidth="1" min="6" max="6"/>
    <col width="18" customWidth="1" min="7" max="7"/>
    <col width="16" customWidth="1" min="8" max="8"/>
    <col width="12" customWidth="1" min="9" max="9"/>
    <col width="18" customWidth="1" min="10" max="10"/>
  </cols>
  <sheetData>
    <row r="1" ht="30" customHeight="1">
      <c r="A1" s="1" t="inlineStr">
        <is>
          <t>Pivot-Style Analysis</t>
        </is>
      </c>
    </row>
    <row r="2">
      <c r="A2" s="2" t="inlineStr">
        <is>
          <t>Formula-built summaries that mimic common PivotTable outputs. Use these to explain trends in interviews.</t>
        </is>
      </c>
    </row>
    <row r="4">
      <c r="A4" s="3" t="inlineStr">
        <is>
          <t>Product</t>
        </is>
      </c>
      <c r="B4" s="3" t="inlineStr">
        <is>
          <t>Revenue</t>
        </is>
      </c>
      <c r="C4" s="3" t="inlineStr">
        <is>
          <t>Orders</t>
        </is>
      </c>
      <c r="D4" s="3" t="inlineStr">
        <is>
          <t>Avg Revenue</t>
        </is>
      </c>
      <c r="E4" s="3" t="inlineStr">
        <is>
          <t>Rank</t>
        </is>
      </c>
      <c r="G4" s="3" t="inlineStr">
        <is>
          <t>Category</t>
        </is>
      </c>
      <c r="H4" s="3" t="inlineStr">
        <is>
          <t>Revenue</t>
        </is>
      </c>
      <c r="I4" s="3" t="inlineStr">
        <is>
          <t>Orders</t>
        </is>
      </c>
      <c r="J4" s="3" t="inlineStr">
        <is>
          <t>Avg Order Value</t>
        </is>
      </c>
    </row>
    <row r="5">
      <c r="A5" t="inlineStr">
        <is>
          <t>Laptop</t>
        </is>
      </c>
      <c r="B5" s="9">
        <f>SUMIF('02_Clean_Data'!O5:O157,A5,'02_Clean_Data'!K5:K157)</f>
        <v/>
      </c>
      <c r="C5">
        <f>COUNTIF('02_Clean_Data'!O5:O157,A5)</f>
        <v/>
      </c>
      <c r="D5" s="9">
        <f>IFERROR(B5/C5,0)</f>
        <v/>
      </c>
      <c r="E5">
        <f>RANK(B5,$B$5:$B$12,0)</f>
        <v/>
      </c>
      <c r="G5" t="inlineStr">
        <is>
          <t>Electronics</t>
        </is>
      </c>
      <c r="H5" s="9">
        <f>SUMIF('02_Clean_Data'!D5:D157,G5,'02_Clean_Data'!K5:K157)</f>
        <v/>
      </c>
      <c r="I5">
        <f>COUNTIF('02_Clean_Data'!D5:D157,G5)</f>
        <v/>
      </c>
      <c r="J5" s="9">
        <f>IFERROR(H5/I5,0)</f>
        <v/>
      </c>
    </row>
    <row r="6">
      <c r="A6" t="inlineStr">
        <is>
          <t>Smartphone</t>
        </is>
      </c>
      <c r="B6" s="9">
        <f>SUMIF('02_Clean_Data'!O5:O157,A6,'02_Clean_Data'!K5:K157)</f>
        <v/>
      </c>
      <c r="C6">
        <f>COUNTIF('02_Clean_Data'!O5:O157,A6)</f>
        <v/>
      </c>
      <c r="D6" s="9">
        <f>IFERROR(B6/C6,0)</f>
        <v/>
      </c>
      <c r="E6">
        <f>RANK(B6,$B$5:$B$12,0)</f>
        <v/>
      </c>
      <c r="G6" t="inlineStr">
        <is>
          <t>Furniture</t>
        </is>
      </c>
      <c r="H6" s="9">
        <f>SUMIF('02_Clean_Data'!D5:D157,G6,'02_Clean_Data'!K5:K157)</f>
        <v/>
      </c>
      <c r="I6">
        <f>COUNTIF('02_Clean_Data'!D5:D157,G6)</f>
        <v/>
      </c>
      <c r="J6" s="9">
        <f>IFERROR(H6/I6,0)</f>
        <v/>
      </c>
    </row>
    <row r="7">
      <c r="A7" t="inlineStr">
        <is>
          <t>Headphones</t>
        </is>
      </c>
      <c r="B7" s="9">
        <f>SUMIF('02_Clean_Data'!O5:O157,A7,'02_Clean_Data'!K5:K157)</f>
        <v/>
      </c>
      <c r="C7">
        <f>COUNTIF('02_Clean_Data'!O5:O157,A7)</f>
        <v/>
      </c>
      <c r="D7" s="9">
        <f>IFERROR(B7/C7,0)</f>
        <v/>
      </c>
      <c r="E7">
        <f>RANK(B7,$B$5:$B$12,0)</f>
        <v/>
      </c>
    </row>
    <row r="8">
      <c r="A8" t="inlineStr">
        <is>
          <t>Monitor</t>
        </is>
      </c>
      <c r="B8" s="9">
        <f>SUMIF('02_Clean_Data'!O5:O157,A8,'02_Clean_Data'!K5:K157)</f>
        <v/>
      </c>
      <c r="C8">
        <f>COUNTIF('02_Clean_Data'!O5:O157,A8)</f>
        <v/>
      </c>
      <c r="D8" s="9">
        <f>IFERROR(B8/C8,0)</f>
        <v/>
      </c>
      <c r="E8">
        <f>RANK(B8,$B$5:$B$12,0)</f>
        <v/>
      </c>
    </row>
    <row r="9">
      <c r="A9" t="inlineStr">
        <is>
          <t>Keyboard</t>
        </is>
      </c>
      <c r="B9" s="9">
        <f>SUMIF('02_Clean_Data'!O5:O157,A9,'02_Clean_Data'!K5:K157)</f>
        <v/>
      </c>
      <c r="C9">
        <f>COUNTIF('02_Clean_Data'!O5:O157,A9)</f>
        <v/>
      </c>
      <c r="D9" s="9">
        <f>IFERROR(B9/C9,0)</f>
        <v/>
      </c>
      <c r="E9">
        <f>RANK(B9,$B$5:$B$12,0)</f>
        <v/>
      </c>
    </row>
    <row r="10">
      <c r="A10" t="inlineStr">
        <is>
          <t>Office Chair</t>
        </is>
      </c>
      <c r="B10" s="9">
        <f>SUMIF('02_Clean_Data'!O5:O157,A10,'02_Clean_Data'!K5:K157)</f>
        <v/>
      </c>
      <c r="C10">
        <f>COUNTIF('02_Clean_Data'!O5:O157,A10)</f>
        <v/>
      </c>
      <c r="D10" s="9">
        <f>IFERROR(B10/C10,0)</f>
        <v/>
      </c>
      <c r="E10">
        <f>RANK(B10,$B$5:$B$12,0)</f>
        <v/>
      </c>
    </row>
    <row r="11">
      <c r="A11" t="inlineStr">
        <is>
          <t>Desk</t>
        </is>
      </c>
      <c r="B11" s="9">
        <f>SUMIF('02_Clean_Data'!O5:O157,A11,'02_Clean_Data'!K5:K157)</f>
        <v/>
      </c>
      <c r="C11">
        <f>COUNTIF('02_Clean_Data'!O5:O157,A11)</f>
        <v/>
      </c>
      <c r="D11" s="9">
        <f>IFERROR(B11/C11,0)</f>
        <v/>
      </c>
      <c r="E11">
        <f>RANK(B11,$B$5:$B$12,0)</f>
        <v/>
      </c>
    </row>
    <row r="12">
      <c r="A12" t="inlineStr">
        <is>
          <t>Bookshelf</t>
        </is>
      </c>
      <c r="B12" s="9">
        <f>SUMIF('02_Clean_Data'!O5:O157,A12,'02_Clean_Data'!K5:K157)</f>
        <v/>
      </c>
      <c r="C12">
        <f>COUNTIF('02_Clean_Data'!O5:O157,A12)</f>
        <v/>
      </c>
      <c r="D12" s="9">
        <f>IFERROR(B12/C12,0)</f>
        <v/>
      </c>
      <c r="E12">
        <f>RANK(B12,$B$5:$B$12,0)</f>
        <v/>
      </c>
    </row>
  </sheetData>
  <mergeCells count="2">
    <mergeCell ref="A1:J1"/>
    <mergeCell ref="A2:J2"/>
  </mergeCells>
  <conditionalFormatting sqref="B5:B12">
    <cfRule type="dataBar" priority="1">
      <dataBar showValue="1">
        <cfvo type="min"/>
        <cfvo type="max"/>
        <color rgb="005B9BD5"/>
      </dataBar>
    </cfRule>
  </conditionalFormatting>
  <conditionalFormatting sqref="H5:H6">
    <cfRule type="dataBar" priority="2">
      <dataBar showValue="1">
        <cfvo type="min"/>
        <cfvo type="max"/>
        <color rgb="0070AD47"/>
      </dataBar>
    </cfRule>
  </conditionalFormatting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8" customWidth="1" min="4" max="4"/>
    <col width="18" customWidth="1" min="5" max="5"/>
    <col width="15" customWidth="1" min="6" max="6"/>
  </cols>
  <sheetData>
    <row r="1" ht="30" customHeight="1">
      <c r="A1" s="1" t="inlineStr">
        <is>
          <t>Monthly Trend Analysis</t>
        </is>
      </c>
    </row>
    <row r="2">
      <c r="A2" s="2" t="inlineStr">
        <is>
          <t>Monthly revenue, order count and average order value using SUMIFS / COUNTIFS.</t>
        </is>
      </c>
    </row>
    <row r="4">
      <c r="A4" s="3" t="inlineStr">
        <is>
          <t>Month</t>
        </is>
      </c>
      <c r="B4" s="3" t="inlineStr">
        <is>
          <t>Revenue</t>
        </is>
      </c>
      <c r="C4" s="3" t="inlineStr">
        <is>
          <t>Orders</t>
        </is>
      </c>
      <c r="D4" s="3" t="inlineStr">
        <is>
          <t>AOV</t>
        </is>
      </c>
      <c r="E4" s="3" t="inlineStr">
        <is>
          <t>Revenue Growth</t>
        </is>
      </c>
      <c r="F4" s="3" t="inlineStr">
        <is>
          <t>Status</t>
        </is>
      </c>
    </row>
    <row r="5">
      <c r="A5" s="15" t="n">
        <v>46023</v>
      </c>
      <c r="B5" s="9">
        <f>SUMIFS('02_Clean_Data'!K5:K157,'02_Clean_Data'!B5:B157,"&gt;="&amp;A5,'02_Clean_Data'!B5:B157,"&lt;"&amp;EDATE(A5,1))</f>
        <v/>
      </c>
      <c r="C5">
        <f>COUNTIFS('02_Clean_Data'!B5:B157,"&gt;="&amp;A5,'02_Clean_Data'!B5:B157,"&lt;"&amp;EDATE(A5,1))</f>
        <v/>
      </c>
      <c r="D5" s="9">
        <f>IFERROR(B5/C5,0)</f>
        <v/>
      </c>
      <c r="E5" s="10" t="inlineStr"/>
      <c r="F5" t="inlineStr"/>
    </row>
    <row r="6">
      <c r="A6" s="15" t="n">
        <v>46054</v>
      </c>
      <c r="B6" s="9">
        <f>SUMIFS('02_Clean_Data'!K5:K157,'02_Clean_Data'!B5:B157,"&gt;="&amp;A6,'02_Clean_Data'!B5:B157,"&lt;"&amp;EDATE(A6,1))</f>
        <v/>
      </c>
      <c r="C6">
        <f>COUNTIFS('02_Clean_Data'!B5:B157,"&gt;="&amp;A6,'02_Clean_Data'!B5:B157,"&lt;"&amp;EDATE(A6,1))</f>
        <v/>
      </c>
      <c r="D6" s="9">
        <f>IFERROR(B6/C6,0)</f>
        <v/>
      </c>
      <c r="E6" s="10">
        <f>IFERROR((B6-B5)/B5,0)</f>
        <v/>
      </c>
      <c r="F6">
        <f>IF(E6&gt;=0,"Growing","Declining")</f>
        <v/>
      </c>
    </row>
    <row r="7">
      <c r="A7" s="15" t="n">
        <v>46082</v>
      </c>
      <c r="B7" s="9">
        <f>SUMIFS('02_Clean_Data'!K5:K157,'02_Clean_Data'!B5:B157,"&gt;="&amp;A7,'02_Clean_Data'!B5:B157,"&lt;"&amp;EDATE(A7,1))</f>
        <v/>
      </c>
      <c r="C7">
        <f>COUNTIFS('02_Clean_Data'!B5:B157,"&gt;="&amp;A7,'02_Clean_Data'!B5:B157,"&lt;"&amp;EDATE(A7,1))</f>
        <v/>
      </c>
      <c r="D7" s="9">
        <f>IFERROR(B7/C7,0)</f>
        <v/>
      </c>
      <c r="E7" s="10">
        <f>IFERROR((B7-B6)/B6,0)</f>
        <v/>
      </c>
      <c r="F7">
        <f>IF(E7&gt;=0,"Growing","Declining")</f>
        <v/>
      </c>
    </row>
    <row r="8">
      <c r="A8" s="15" t="n">
        <v>46113</v>
      </c>
      <c r="B8" s="9">
        <f>SUMIFS('02_Clean_Data'!K5:K157,'02_Clean_Data'!B5:B157,"&gt;="&amp;A8,'02_Clean_Data'!B5:B157,"&lt;"&amp;EDATE(A8,1))</f>
        <v/>
      </c>
      <c r="C8">
        <f>COUNTIFS('02_Clean_Data'!B5:B157,"&gt;="&amp;A8,'02_Clean_Data'!B5:B157,"&lt;"&amp;EDATE(A8,1))</f>
        <v/>
      </c>
      <c r="D8" s="9">
        <f>IFERROR(B8/C8,0)</f>
        <v/>
      </c>
      <c r="E8" s="10">
        <f>IFERROR((B8-B7)/B7,0)</f>
        <v/>
      </c>
      <c r="F8">
        <f>IF(E8&gt;=0,"Growing","Declining")</f>
        <v/>
      </c>
    </row>
    <row r="9">
      <c r="A9" s="15" t="n">
        <v>46143</v>
      </c>
      <c r="B9" s="9">
        <f>SUMIFS('02_Clean_Data'!K5:K157,'02_Clean_Data'!B5:B157,"&gt;="&amp;A9,'02_Clean_Data'!B5:B157,"&lt;"&amp;EDATE(A9,1))</f>
        <v/>
      </c>
      <c r="C9">
        <f>COUNTIFS('02_Clean_Data'!B5:B157,"&gt;="&amp;A9,'02_Clean_Data'!B5:B157,"&lt;"&amp;EDATE(A9,1))</f>
        <v/>
      </c>
      <c r="D9" s="9">
        <f>IFERROR(B9/C9,0)</f>
        <v/>
      </c>
      <c r="E9" s="10">
        <f>IFERROR((B9-B8)/B8,0)</f>
        <v/>
      </c>
      <c r="F9">
        <f>IF(E9&gt;=0,"Growing","Declining")</f>
        <v/>
      </c>
    </row>
    <row r="10">
      <c r="A10" s="15" t="n">
        <v>46174</v>
      </c>
      <c r="B10" s="9">
        <f>SUMIFS('02_Clean_Data'!K5:K157,'02_Clean_Data'!B5:B157,"&gt;="&amp;A10,'02_Clean_Data'!B5:B157,"&lt;"&amp;EDATE(A10,1))</f>
        <v/>
      </c>
      <c r="C10">
        <f>COUNTIFS('02_Clean_Data'!B5:B157,"&gt;="&amp;A10,'02_Clean_Data'!B5:B157,"&lt;"&amp;EDATE(A10,1))</f>
        <v/>
      </c>
      <c r="D10" s="9">
        <f>IFERROR(B10/C10,0)</f>
        <v/>
      </c>
      <c r="E10" s="10">
        <f>IFERROR((B10-B9)/B9,0)</f>
        <v/>
      </c>
      <c r="F10">
        <f>IF(E10&gt;=0,"Growing","Declining")</f>
        <v/>
      </c>
    </row>
  </sheetData>
  <mergeCells count="2">
    <mergeCell ref="A2:F2"/>
    <mergeCell ref="A1:F1"/>
  </mergeCells>
  <conditionalFormatting sqref="E6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4" customWidth="1" min="4" max="4"/>
    <col width="20" customWidth="1" min="5" max="5"/>
  </cols>
  <sheetData>
    <row r="1" ht="30" customHeight="1">
      <c r="A1" s="1" t="inlineStr">
        <is>
          <t>Interactive Business Analysis</t>
        </is>
      </c>
    </row>
    <row r="2">
      <c r="A2" s="2" t="inlineStr">
        <is>
          <t>Change the dropdown selections. KPI formulas update using SUMIFS / COUNTIFS.</t>
        </is>
      </c>
    </row>
    <row r="4">
      <c r="A4" s="16" t="inlineStr">
        <is>
          <t>Selected Region</t>
        </is>
      </c>
      <c r="B4" s="17" t="inlineStr">
        <is>
          <t>West</t>
        </is>
      </c>
      <c r="D4" s="3" t="inlineStr">
        <is>
          <t>KPI</t>
        </is>
      </c>
      <c r="E4" s="3" t="inlineStr">
        <is>
          <t>Value</t>
        </is>
      </c>
    </row>
    <row r="5">
      <c r="A5" s="16" t="inlineStr">
        <is>
          <t>Selected Category</t>
        </is>
      </c>
      <c r="B5" s="17" t="inlineStr">
        <is>
          <t>Electronics</t>
        </is>
      </c>
      <c r="D5" s="18" t="inlineStr">
        <is>
          <t>Filtered Revenue</t>
        </is>
      </c>
      <c r="E5" s="19">
        <f>SUMIFS('02_Clean_Data'!K5:K157,'02_Clean_Data'!F5:F157,B4,'02_Clean_Data'!D5:D157,B5,'02_Clean_Data'!G5:G157,B6)</f>
        <v/>
      </c>
    </row>
    <row r="6">
      <c r="A6" s="16" t="inlineStr">
        <is>
          <t>Selected Channel</t>
        </is>
      </c>
      <c r="B6" s="17" t="inlineStr">
        <is>
          <t>Online</t>
        </is>
      </c>
      <c r="D6" s="18" t="inlineStr">
        <is>
          <t>Filtered Orders</t>
        </is>
      </c>
      <c r="E6" s="20">
        <f>COUNTIFS('02_Clean_Data'!F5:F157,B4,'02_Clean_Data'!D5:D157,B5,'02_Clean_Data'!G5:G157,B6)</f>
        <v/>
      </c>
    </row>
    <row r="7">
      <c r="D7" s="18" t="inlineStr">
        <is>
          <t>Filtered AOV</t>
        </is>
      </c>
      <c r="E7" s="19">
        <f>IFERROR(E5/E6,0)</f>
        <v/>
      </c>
    </row>
    <row r="8">
      <c r="D8" s="18" t="inlineStr">
        <is>
          <t>High Revenue Orders</t>
        </is>
      </c>
      <c r="E8" s="20">
        <f>COUNTIFS('02_Clean_Data'!F5:F157,B4,'02_Clean_Data'!D5:D157,B5,'02_Clean_Data'!G5:G157,B6,'02_Clean_Data'!R5:R157,"High")</f>
        <v/>
      </c>
    </row>
    <row r="9">
      <c r="A9" s="21" t="inlineStr">
        <is>
          <t>Why this matters</t>
        </is>
      </c>
    </row>
    <row r="10">
      <c r="A10" s="22" t="inlineStr">
        <is>
          <t>This sheet demonstrates Data Validation + SUMIFS + COUNTIFS + IFERROR. In an interview, explain that dropdowns change the criteria while the formulas recalculate the selected business segment.</t>
        </is>
      </c>
    </row>
    <row r="11"/>
    <row r="12"/>
  </sheetData>
  <mergeCells count="3">
    <mergeCell ref="A10:C12"/>
    <mergeCell ref="A2:H2"/>
    <mergeCell ref="A1:H1"/>
  </mergeCells>
  <dataValidations count="3">
    <dataValidation sqref="B4" showDropDown="0" showInputMessage="0" showErrorMessage="0" allowBlank="0" type="list">
      <formula1>"North,South,East,West"</formula1>
    </dataValidation>
    <dataValidation sqref="B5" showDropDown="0" showInputMessage="0" showErrorMessage="0" allowBlank="0" type="list">
      <formula1>"Electronics,Furniture"</formula1>
    </dataValidation>
    <dataValidation sqref="B6" showDropDown="0" showInputMessage="0" showErrorMessage="0" allowBlank="0" type="list">
      <formula1>"Online,Store,Distributor"</formula1>
    </dataValidation>
  </dataValidations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AI BUSINESS ANALYST — EXECUTIVE DASHBOARD</t>
        </is>
      </c>
    </row>
    <row r="2">
      <c r="A2" s="2" t="inlineStr">
        <is>
          <t>Management view built from the cleaned sales data. KPI cards + charts + business interpretation.</t>
        </is>
      </c>
    </row>
    <row r="4">
      <c r="A4" s="23" t="inlineStr">
        <is>
          <t>Total Revenue</t>
        </is>
      </c>
      <c r="D4" s="23" t="inlineStr">
        <is>
          <t>Total Orders</t>
        </is>
      </c>
      <c r="G4" s="23" t="inlineStr">
        <is>
          <t>Average Order Value</t>
        </is>
      </c>
      <c r="J4" s="23" t="inlineStr">
        <is>
          <t>Top Product</t>
        </is>
      </c>
    </row>
    <row r="5">
      <c r="A5" s="24">
        <f>SUM('02_Clean_Data'!K5:K157)</f>
        <v/>
      </c>
      <c r="D5" s="25">
        <f>COUNTA('02_Clean_Data'!A5:A157)</f>
        <v/>
      </c>
      <c r="G5" s="24">
        <f>AVERAGE('02_Clean_Data'!K5:K157)</f>
        <v/>
      </c>
      <c r="J5" s="25">
        <f>INDEX('05_Pivot_Style'!A5:A12,MATCH(MAX('05_Pivot_Style'!B5:B12),'05_Pivot_Style'!B5:B12,0))</f>
        <v/>
      </c>
    </row>
    <row r="6"/>
    <row r="9">
      <c r="A9" s="26" t="inlineStr">
        <is>
          <t>Product Revenue</t>
        </is>
      </c>
      <c r="D9" s="26" t="inlineStr">
        <is>
          <t>Category Revenue</t>
        </is>
      </c>
      <c r="G9" s="26" t="inlineStr">
        <is>
          <t>Monthly Revenue</t>
        </is>
      </c>
    </row>
    <row r="10">
      <c r="A10" s="3" t="inlineStr">
        <is>
          <t>Product</t>
        </is>
      </c>
      <c r="B10" s="3" t="inlineStr">
        <is>
          <t>Revenue</t>
        </is>
      </c>
      <c r="D10" s="3" t="inlineStr">
        <is>
          <t>Category</t>
        </is>
      </c>
      <c r="E10" s="3" t="inlineStr">
        <is>
          <t>Revenue</t>
        </is>
      </c>
      <c r="G10" s="3" t="inlineStr">
        <is>
          <t>Month</t>
        </is>
      </c>
      <c r="H10" s="3" t="inlineStr">
        <is>
          <t>Revenue</t>
        </is>
      </c>
    </row>
    <row r="11">
      <c r="A11">
        <f>'05_Pivot_Style'!A5</f>
        <v/>
      </c>
      <c r="B11" s="9">
        <f>'05_Pivot_Style'!B5</f>
        <v/>
      </c>
      <c r="D11">
        <f>'05_Pivot_Style'!G5</f>
        <v/>
      </c>
      <c r="E11" s="9">
        <f>'05_Pivot_Style'!H5</f>
        <v/>
      </c>
      <c r="G11" s="15">
        <f>'06_Monthly_Analysis'!A5</f>
        <v/>
      </c>
      <c r="H11" s="9">
        <f>'06_Monthly_Analysis'!B5</f>
        <v/>
      </c>
    </row>
    <row r="12">
      <c r="A12">
        <f>'05_Pivot_Style'!A6</f>
        <v/>
      </c>
      <c r="B12" s="9">
        <f>'05_Pivot_Style'!B6</f>
        <v/>
      </c>
      <c r="D12">
        <f>'05_Pivot_Style'!G6</f>
        <v/>
      </c>
      <c r="E12" s="9">
        <f>'05_Pivot_Style'!H6</f>
        <v/>
      </c>
      <c r="G12" s="15">
        <f>'06_Monthly_Analysis'!A6</f>
        <v/>
      </c>
      <c r="H12" s="9">
        <f>'06_Monthly_Analysis'!B6</f>
        <v/>
      </c>
    </row>
    <row r="13">
      <c r="A13">
        <f>'05_Pivot_Style'!A7</f>
        <v/>
      </c>
      <c r="B13" s="9">
        <f>'05_Pivot_Style'!B7</f>
        <v/>
      </c>
      <c r="G13" s="15">
        <f>'06_Monthly_Analysis'!A7</f>
        <v/>
      </c>
      <c r="H13" s="9">
        <f>'06_Monthly_Analysis'!B7</f>
        <v/>
      </c>
    </row>
    <row r="14">
      <c r="A14">
        <f>'05_Pivot_Style'!A8</f>
        <v/>
      </c>
      <c r="B14" s="9">
        <f>'05_Pivot_Style'!B8</f>
        <v/>
      </c>
      <c r="G14" s="15">
        <f>'06_Monthly_Analysis'!A8</f>
        <v/>
      </c>
      <c r="H14" s="9">
        <f>'06_Monthly_Analysis'!B8</f>
        <v/>
      </c>
    </row>
    <row r="15">
      <c r="A15">
        <f>'05_Pivot_Style'!A9</f>
        <v/>
      </c>
      <c r="B15" s="9">
        <f>'05_Pivot_Style'!B9</f>
        <v/>
      </c>
      <c r="G15" s="15">
        <f>'06_Monthly_Analysis'!A9</f>
        <v/>
      </c>
      <c r="H15" s="9">
        <f>'06_Monthly_Analysis'!B9</f>
        <v/>
      </c>
    </row>
    <row r="16">
      <c r="A16">
        <f>'05_Pivot_Style'!A10</f>
        <v/>
      </c>
      <c r="B16" s="9">
        <f>'05_Pivot_Style'!B10</f>
        <v/>
      </c>
      <c r="G16" s="15">
        <f>'06_Monthly_Analysis'!A10</f>
        <v/>
      </c>
      <c r="H16" s="9">
        <f>'06_Monthly_Analysis'!B10</f>
        <v/>
      </c>
    </row>
    <row r="17">
      <c r="A17">
        <f>'05_Pivot_Style'!A11</f>
        <v/>
      </c>
      <c r="B17" s="9">
        <f>'05_Pivot_Style'!B11</f>
        <v/>
      </c>
    </row>
    <row r="18">
      <c r="A18">
        <f>'05_Pivot_Style'!A12</f>
        <v/>
      </c>
      <c r="B18" s="9">
        <f>'05_Pivot_Style'!B12</f>
        <v/>
      </c>
    </row>
  </sheetData>
  <mergeCells count="10">
    <mergeCell ref="A4:B4"/>
    <mergeCell ref="G4:H4"/>
    <mergeCell ref="A2:L2"/>
    <mergeCell ref="J4:K4"/>
    <mergeCell ref="A1:L1"/>
    <mergeCell ref="D5:E6"/>
    <mergeCell ref="A5:B6"/>
    <mergeCell ref="G5:H6"/>
    <mergeCell ref="D4:E4"/>
    <mergeCell ref="J5:K6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38" customWidth="1" min="4" max="4"/>
  </cols>
  <sheetData>
    <row r="1" ht="30" customHeight="1">
      <c r="A1" s="1" t="inlineStr">
        <is>
          <t>Data Cleaning Demonstration</t>
        </is>
      </c>
    </row>
    <row r="2">
      <c r="A2" s="2" t="inlineStr">
        <is>
          <t>Shows what a real analyst would clean before reporting.</t>
        </is>
      </c>
    </row>
    <row r="4">
      <c r="A4" s="3" t="inlineStr">
        <is>
          <t>Issue</t>
        </is>
      </c>
      <c r="B4" s="3" t="inlineStr">
        <is>
          <t>Example in Raw Data</t>
        </is>
      </c>
      <c r="C4" s="3" t="inlineStr">
        <is>
          <t>Cleaning Formula / Method</t>
        </is>
      </c>
      <c r="D4" s="3" t="inlineStr">
        <is>
          <t>Why it matters</t>
        </is>
      </c>
    </row>
    <row r="5">
      <c r="A5" s="22" t="inlineStr">
        <is>
          <t>Extra spaces</t>
        </is>
      </c>
      <c r="B5" s="22" t="inlineStr">
        <is>
          <t xml:space="preserve">  Laptop  </t>
        </is>
      </c>
      <c r="C5" s="22">
        <f>PROPER(TRIM(cell))</f>
        <v/>
      </c>
      <c r="D5" s="22" t="inlineStr">
        <is>
          <t>Prevents mismatches in lookups and summaries</t>
        </is>
      </c>
    </row>
    <row r="6">
      <c r="A6" s="22" t="inlineStr">
        <is>
          <t>Inconsistent case</t>
        </is>
      </c>
      <c r="B6" s="22" t="inlineStr">
        <is>
          <t>abc electronics</t>
        </is>
      </c>
      <c r="C6" s="22">
        <f>PROPER(TRIM(cell))</f>
        <v/>
      </c>
      <c r="D6" s="22" t="inlineStr">
        <is>
          <t>Standardizes labels</t>
        </is>
      </c>
    </row>
    <row r="7">
      <c r="A7" s="22" t="inlineStr">
        <is>
          <t>Wrong / missing calculation</t>
        </is>
      </c>
      <c r="B7" s="22" t="inlineStr">
        <is>
          <t>Revenue</t>
        </is>
      </c>
      <c r="C7" s="22">
        <f>IFERROR(Quantity*Unit Price,0)</f>
        <v/>
      </c>
      <c r="D7" s="22" t="inlineStr">
        <is>
          <t>Creates a reliable metric</t>
        </is>
      </c>
    </row>
    <row r="8">
      <c r="A8" s="22" t="inlineStr">
        <is>
          <t>Duplicate records</t>
        </is>
      </c>
      <c r="B8" s="22" t="inlineStr">
        <is>
          <t>Repeated Order ID</t>
        </is>
      </c>
      <c r="C8" s="22" t="inlineStr">
        <is>
          <t>COUNTIF / Remove Duplicates</t>
        </is>
      </c>
      <c r="D8" s="22" t="inlineStr">
        <is>
          <t>Prevents double counting</t>
        </is>
      </c>
    </row>
    <row r="9">
      <c r="A9" s="22" t="inlineStr">
        <is>
          <t>Date analysis</t>
        </is>
      </c>
      <c r="B9" s="22" t="inlineStr">
        <is>
          <t>01-Jan-2026</t>
        </is>
      </c>
      <c r="C9" s="22" t="inlineStr">
        <is>
          <t>YEAR / MONTH / EOMONTH</t>
        </is>
      </c>
      <c r="D9" s="22" t="inlineStr">
        <is>
          <t>Enables time-based analysis</t>
        </is>
      </c>
    </row>
    <row r="10">
      <c r="A10" s="22" t="inlineStr">
        <is>
          <t>Missing lookup</t>
        </is>
      </c>
      <c r="B10" s="22" t="inlineStr">
        <is>
          <t>Unknown product</t>
        </is>
      </c>
      <c r="C10" s="22" t="inlineStr">
        <is>
          <t>IFERROR(XLOOKUP(...),"Not Found")</t>
        </is>
      </c>
      <c r="D10" s="22" t="inlineStr">
        <is>
          <t>Avoids formula errors</t>
        </is>
      </c>
    </row>
    <row r="11">
      <c r="A11" s="22" t="n"/>
      <c r="B11" s="22" t="n"/>
      <c r="C11" s="22" t="n"/>
      <c r="D11" s="22" t="n"/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70" customWidth="1" min="3" max="3"/>
  </cols>
  <sheetData>
    <row r="1" ht="30" customHeight="1">
      <c r="A1" s="1" t="inlineStr">
        <is>
          <t>Excel Skills Demonstrated</t>
        </is>
      </c>
    </row>
    <row r="2">
      <c r="A2" s="2" t="inlineStr">
        <is>
          <t>Use this page as a checklist when explaining the workbook in interviews.</t>
        </is>
      </c>
    </row>
    <row r="4">
      <c r="A4" s="3" t="inlineStr">
        <is>
          <t>Skill</t>
        </is>
      </c>
      <c r="B4" s="3" t="inlineStr">
        <is>
          <t>Functions / Feature</t>
        </is>
      </c>
      <c r="C4" s="3" t="inlineStr">
        <is>
          <t>How it is used</t>
        </is>
      </c>
    </row>
    <row r="5">
      <c r="A5" s="22" t="inlineStr">
        <is>
          <t>Data Cleaning</t>
        </is>
      </c>
      <c r="B5" s="22" t="inlineStr">
        <is>
          <t>TRIM, PROPER, IFERROR, duplicate awareness</t>
        </is>
      </c>
      <c r="C5" s="22" t="inlineStr">
        <is>
          <t>Standardized text and protected calculations from errors.</t>
        </is>
      </c>
    </row>
    <row r="6">
      <c r="A6" s="22" t="inlineStr">
        <is>
          <t>Excel Tables</t>
        </is>
      </c>
      <c r="B6" s="22" t="inlineStr">
        <is>
          <t>Structured Tables + filters + freeze panes</t>
        </is>
      </c>
      <c r="C6" s="22" t="inlineStr">
        <is>
          <t>Makes raw data easier to manage and formulas scalable.</t>
        </is>
      </c>
    </row>
    <row r="7">
      <c r="A7" s="22" t="inlineStr">
        <is>
          <t>Lookup Functions</t>
        </is>
      </c>
      <c r="B7" s="22" t="inlineStr">
        <is>
          <t>XLOOKUP, INDEX, MATCH</t>
        </is>
      </c>
      <c r="C7" s="22" t="inlineStr">
        <is>
          <t>Connects transactional data with reference/master data.</t>
        </is>
      </c>
    </row>
    <row r="8">
      <c r="A8" s="22" t="inlineStr">
        <is>
          <t>Conditional Logic</t>
        </is>
      </c>
      <c r="B8" s="22" t="inlineStr">
        <is>
          <t>IF, IFS</t>
        </is>
      </c>
      <c r="C8" s="22" t="inlineStr">
        <is>
          <t>Creates revenue bands and business classifications.</t>
        </is>
      </c>
    </row>
    <row r="9">
      <c r="A9" s="22" t="inlineStr">
        <is>
          <t>Conditional Aggregation</t>
        </is>
      </c>
      <c r="B9" s="22" t="inlineStr">
        <is>
          <t>SUMIF, SUMIFS, COUNTIF, COUNTIFS, AVERAGEIF</t>
        </is>
      </c>
      <c r="C9" s="22" t="inlineStr">
        <is>
          <t>Answers segment-specific business questions.</t>
        </is>
      </c>
    </row>
    <row r="10">
      <c r="A10" s="22" t="inlineStr">
        <is>
          <t>Date Analysis</t>
        </is>
      </c>
      <c r="B10" s="22" t="inlineStr">
        <is>
          <t>YEAR, TEXT, EDATE</t>
        </is>
      </c>
      <c r="C10" s="22" t="inlineStr">
        <is>
          <t>Supports monthly trend reporting.</t>
        </is>
      </c>
    </row>
    <row r="11">
      <c r="A11" s="22" t="inlineStr">
        <is>
          <t>Conditional Formatting</t>
        </is>
      </c>
      <c r="B11" s="22" t="inlineStr">
        <is>
          <t>Color scales and data bars</t>
        </is>
      </c>
      <c r="C11" s="22" t="inlineStr">
        <is>
          <t>Highlights strong/weak values quickly.</t>
        </is>
      </c>
    </row>
    <row r="12">
      <c r="A12" s="22" t="inlineStr">
        <is>
          <t>Data Validation</t>
        </is>
      </c>
      <c r="B12" s="22" t="inlineStr">
        <is>
          <t>Dropdown selectors</t>
        </is>
      </c>
      <c r="C12" s="22" t="inlineStr">
        <is>
          <t>Creates interactive analysis without macros.</t>
        </is>
      </c>
    </row>
    <row r="13">
      <c r="A13" s="22" t="inlineStr">
        <is>
          <t>Charts</t>
        </is>
      </c>
      <c r="B13" s="22" t="inlineStr">
        <is>
          <t>Bar, line, pie</t>
        </is>
      </c>
      <c r="C13" s="22" t="inlineStr">
        <is>
          <t>Communicates product, trend and category insights.</t>
        </is>
      </c>
    </row>
    <row r="14">
      <c r="A14" s="22" t="inlineStr">
        <is>
          <t>Dashboarding</t>
        </is>
      </c>
      <c r="B14" s="22" t="inlineStr">
        <is>
          <t>KPI cards + charts</t>
        </is>
      </c>
      <c r="C14" s="22" t="inlineStr">
        <is>
          <t>Converts analysis into an executive-friendly view.</t>
        </is>
      </c>
    </row>
    <row r="15">
      <c r="A15" s="22" t="inlineStr">
        <is>
          <t>Business Analysis</t>
        </is>
      </c>
      <c r="B15" s="22" t="inlineStr">
        <is>
          <t>Revenue, AOV, orders, margin</t>
        </is>
      </c>
      <c r="C15" s="22" t="inlineStr">
        <is>
          <t>Turns raw transactions into business KPIs.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</cols>
  <sheetData>
    <row r="1" ht="30" customHeight="1">
      <c r="A1" s="1" t="inlineStr">
        <is>
          <t>Data Dictionary</t>
        </is>
      </c>
    </row>
    <row r="2">
      <c r="A2" s="2" t="inlineStr">
        <is>
          <t>Definitions of the main fields used in the business analysis.</t>
        </is>
      </c>
    </row>
    <row r="4">
      <c r="A4" s="3" t="inlineStr">
        <is>
          <t>Field</t>
        </is>
      </c>
      <c r="B4" s="3" t="inlineStr">
        <is>
          <t>Definition</t>
        </is>
      </c>
      <c r="C4" s="3" t="inlineStr">
        <is>
          <t>Data Type</t>
        </is>
      </c>
    </row>
    <row r="5">
      <c r="A5" t="inlineStr">
        <is>
          <t>Order ID</t>
        </is>
      </c>
      <c r="B5" t="inlineStr">
        <is>
          <t>Unique transaction identifier</t>
        </is>
      </c>
      <c r="C5" t="inlineStr">
        <is>
          <t>Integer</t>
        </is>
      </c>
    </row>
    <row r="6">
      <c r="A6" t="inlineStr">
        <is>
          <t>Order Date</t>
        </is>
      </c>
      <c r="B6" t="inlineStr">
        <is>
          <t>Date of the transaction</t>
        </is>
      </c>
      <c r="C6" t="inlineStr">
        <is>
          <t>Date</t>
        </is>
      </c>
    </row>
    <row r="7">
      <c r="A7" t="inlineStr">
        <is>
          <t>Product</t>
        </is>
      </c>
      <c r="B7" t="inlineStr">
        <is>
          <t>Product sold</t>
        </is>
      </c>
      <c r="C7" t="inlineStr">
        <is>
          <t>Text</t>
        </is>
      </c>
    </row>
    <row r="8">
      <c r="A8" t="inlineStr">
        <is>
          <t>Category</t>
        </is>
      </c>
      <c r="B8" t="inlineStr">
        <is>
          <t>Product category</t>
        </is>
      </c>
      <c r="C8" t="inlineStr">
        <is>
          <t>Text</t>
        </is>
      </c>
    </row>
    <row r="9">
      <c r="A9" t="inlineStr">
        <is>
          <t>Customer</t>
        </is>
      </c>
      <c r="B9" t="inlineStr">
        <is>
          <t>Customer / account name</t>
        </is>
      </c>
      <c r="C9" t="inlineStr">
        <is>
          <t>Text</t>
        </is>
      </c>
    </row>
    <row r="10">
      <c r="A10" t="inlineStr">
        <is>
          <t>Region</t>
        </is>
      </c>
      <c r="B10" t="inlineStr">
        <is>
          <t>Sales region</t>
        </is>
      </c>
      <c r="C10" t="inlineStr">
        <is>
          <t>Text</t>
        </is>
      </c>
    </row>
    <row r="11">
      <c r="A11" t="inlineStr">
        <is>
          <t>Channel</t>
        </is>
      </c>
      <c r="B11" t="inlineStr">
        <is>
          <t>Sales channel</t>
        </is>
      </c>
      <c r="C11" t="inlineStr">
        <is>
          <t>Text</t>
        </is>
      </c>
    </row>
    <row r="12">
      <c r="A12" t="inlineStr">
        <is>
          <t>Salesperson</t>
        </is>
      </c>
      <c r="B12" t="inlineStr">
        <is>
          <t>Representative handling the transaction</t>
        </is>
      </c>
      <c r="C12" t="inlineStr">
        <is>
          <t>Text</t>
        </is>
      </c>
    </row>
    <row r="13">
      <c r="A13" t="inlineStr">
        <is>
          <t>Quantity</t>
        </is>
      </c>
      <c r="B13" t="inlineStr">
        <is>
          <t>Units sold</t>
        </is>
      </c>
      <c r="C13" t="inlineStr">
        <is>
          <t>Integer</t>
        </is>
      </c>
    </row>
    <row r="14">
      <c r="A14" t="inlineStr">
        <is>
          <t>Unit Price</t>
        </is>
      </c>
      <c r="B14" t="inlineStr">
        <is>
          <t>Price per unit</t>
        </is>
      </c>
      <c r="C14" t="inlineStr">
        <is>
          <t>Currency</t>
        </is>
      </c>
    </row>
    <row r="15">
      <c r="A15" t="inlineStr">
        <is>
          <t>Revenue</t>
        </is>
      </c>
      <c r="B15" t="inlineStr">
        <is>
          <t>Quantity × Unit Price</t>
        </is>
      </c>
      <c r="C15" t="inlineStr">
        <is>
          <t>Currency</t>
        </is>
      </c>
    </row>
    <row r="16">
      <c r="A16" t="inlineStr">
        <is>
          <t>Profit</t>
        </is>
      </c>
      <c r="B16" t="inlineStr">
        <is>
          <t>Revenue × category margin assumption</t>
        </is>
      </c>
      <c r="C16" t="inlineStr">
        <is>
          <t>Currency</t>
        </is>
      </c>
    </row>
    <row r="17">
      <c r="A17" t="inlineStr">
        <is>
          <t>Profit Margin</t>
        </is>
      </c>
      <c r="B17" t="inlineStr">
        <is>
          <t>Profit ÷ Revenue</t>
        </is>
      </c>
      <c r="C17" t="inlineStr">
        <is>
          <t>Percentage</t>
        </is>
      </c>
    </row>
    <row r="18">
      <c r="A18" t="inlineStr">
        <is>
          <t>Revenue Band</t>
        </is>
      </c>
      <c r="B18" t="inlineStr">
        <is>
          <t>High / Medium / Low classification</t>
        </is>
      </c>
      <c r="C18" t="inlineStr">
        <is>
          <t>Text</t>
        </is>
      </c>
    </row>
  </sheetData>
  <mergeCells count="2">
    <mergeCell ref="A2:E2"/>
    <mergeCell ref="A1:E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2026-09-02T18:02:48Z</dcterms:created>
  <dcterms:modified xmlns:dcterms="http://purl.org/dc/terms/" xmlns:xsi="http://www.w3.org/2001/XMLSchema-instance" xsi:type="dcterms:W3CDTF">2026-09-02T18:02:49Z</dcterms:modified>
</cp:coreProperties>
</file>